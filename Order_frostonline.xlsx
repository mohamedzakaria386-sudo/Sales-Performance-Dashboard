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202300"/>
  <mc:AlternateContent xmlns:mc="http://schemas.openxmlformats.org/markup-compatibility/2006">
    <mc:Choice Requires="x15">
      <x15ac:absPath xmlns:x15ac="http://schemas.microsoft.com/office/spreadsheetml/2010/11/ac" url="C:\Users\DELL\Downloads\"/>
    </mc:Choice>
  </mc:AlternateContent>
  <xr:revisionPtr revIDLastSave="0" documentId="8_{2E57FDE0-E767-483D-86BF-86A54EC3C943}" xr6:coauthVersionLast="47" xr6:coauthVersionMax="47" xr10:uidLastSave="{00000000-0000-0000-0000-000000000000}"/>
  <bookViews>
    <workbookView xWindow="-120" yWindow="-120" windowWidth="29040" windowHeight="15840" firstSheet="2" activeTab="2" xr2:uid="{F5C0BC5A-4B2A-4730-B64F-BB82AAECBB89}"/>
  </bookViews>
  <sheets>
    <sheet name="PivotTable1" sheetId="2" state="hidden" r:id="rId1"/>
    <sheet name="PivotTable2" sheetId="3" state="hidden" r:id="rId2"/>
    <sheet name="Dashboard" sheetId="1" r:id="rId3"/>
  </sheets>
  <definedNames>
    <definedName name="Slicer_CategoryName">#N/A</definedName>
    <definedName name="Slicer_Country">#N/A</definedName>
    <definedName name="Slicer_Month">#N/A</definedName>
    <definedName name="Slicer_PriceSegment">#N/A</definedName>
    <definedName name="Slicer_Year">#N/A</definedName>
  </definedNames>
  <calcPr calcId="191029"/>
  <pivotCaches>
    <pivotCache cacheId="1340" r:id="rId4"/>
    <pivotCache cacheId="1343" r:id="rId5"/>
    <pivotCache cacheId="1346" r:id="rId6"/>
    <pivotCache cacheId="1349" r:id="rId7"/>
    <pivotCache cacheId="1352" r:id="rId8"/>
  </pivotCaches>
  <extLst>
    <ext xmlns:x14="http://schemas.microsoft.com/office/spreadsheetml/2009/9/main" uri="{876F7934-8845-4945-9796-88D515C7AA90}">
      <x14:pivotCaches>
        <pivotCache cacheId="71" r:id="rId9"/>
      </x14:pivotCaches>
    </ext>
    <ext xmlns:x14="http://schemas.microsoft.com/office/spreadsheetml/2009/9/main" uri="{BBE1A952-AA13-448e-AADC-164F8A28A991}">
      <x14:slicerCaches>
        <x14:slicerCache r:id="rId10"/>
        <x14:slicerCache r:id="rId11"/>
        <x14:slicerCache r:id="rId12"/>
        <x14:slicerCache r:id="rId13"/>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blcategories_92264be5-529b-4188-b927-fac05eb569e9" name="Tblcategories" connection="Query - Tblcategories"/>
          <x15:modelTable id="TblCustomers_1c6a2ca1-d4b3-49db-92d3-d835cef65080" name="TblCustomers" connection="Query - TblCustomers"/>
          <x15:modelTable id="Tblemployees_5776d4f4-86d5-481f-8176-79b250307e1a" name="Tblemployees" connection="Query - Tblemployees"/>
          <x15:modelTable id="TblOrders_3944b8c6-238d-4767-83b6-365bf6c717a1" name="TblOrders" connection="Query - TblOrders"/>
          <x15:modelTable id="TblOrdersdetails_fe40f7a2-700e-4b5c-b271-2a6ded294cf0" name="TblOrdersdetails" connection="Query - TblOrdersdetails"/>
          <x15:modelTable id="Tblproducts_58c64158-3140-48c2-91a6-b01af9990d5f" name="Tblproducts" connection="Query - Tblproducts"/>
          <x15:modelTable id="Tblshippers_e18dc465-f84b-42c8-991b-69f93a74d993" name="Tblshippers" connection="Query - Tblshippers"/>
          <x15:modelTable id="Tblsuppliers_8f2efedd-a285-459e-8ab9-0870abe754f5" name="Tblsuppliers" connection="Query - Tblsuppliers"/>
        </x15:modelTables>
        <x15:modelRelationships>
          <x15:modelRelationship fromTable="TblOrders" fromColumn="CustomerID" toTable="TblCustomers" toColumn="CustomerID"/>
          <x15:modelRelationship fromTable="TblOrders" fromColumn="EmployeeID" toTable="Tblemployees" toColumn="EmployeeID"/>
          <x15:modelRelationship fromTable="TblOrders" fromColumn="ShipperID" toTable="Tblshippers" toColumn="ShipperID"/>
          <x15:modelRelationship fromTable="TblOrdersdetails" fromColumn="ProductID" toTable="Tblproducts" toColumn="ProductID"/>
          <x15:modelRelationship fromTable="TblOrdersdetails" fromColumn="OrderID" toTable="TblOrders" toColumn="OrderID"/>
          <x15:modelRelationship fromTable="Tblproducts" fromColumn="CategoryID" toTable="Tblcategories" toColumn="CategoryID"/>
          <x15:modelRelationship fromTable="Tblproducts" fromColumn="SuppliersID" toTable="Tblsuppliers" toColumn="Supplier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9" i="3" l="1" a="1"/>
  <c r="G9" i="3" s="1"/>
  <c r="F9" i="3" a="1"/>
  <c r="F9" i="3" s="1"/>
  <c r="E9" i="3" a="1"/>
  <c r="E9" i="3" s="1"/>
  <c r="D9" i="3"/>
  <c r="D10"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5227D52-96DB-4FF1-9919-BA256C03EAFF}" name="Query - Tblcategories" description="Connection to the 'Tblcategories' query in the workbook." type="100" refreshedVersion="8" minRefreshableVersion="5">
    <extLst>
      <ext xmlns:x15="http://schemas.microsoft.com/office/spreadsheetml/2010/11/main" uri="{DE250136-89BD-433C-8126-D09CA5730AF9}">
        <x15:connection id="050c5506-77cc-48f3-863c-f2d9cb1b09e1"/>
      </ext>
    </extLst>
  </connection>
  <connection id="2" xr16:uid="{88E8472A-A885-43C5-BF8C-2D3582897A57}" name="Query - TblCustomers" description="Connection to the 'TblCustomers' query in the workbook." type="100" refreshedVersion="8" minRefreshableVersion="5">
    <extLst>
      <ext xmlns:x15="http://schemas.microsoft.com/office/spreadsheetml/2010/11/main" uri="{DE250136-89BD-433C-8126-D09CA5730AF9}">
        <x15:connection id="8d35b291-12d8-46dd-b2c9-a916c610997b"/>
      </ext>
    </extLst>
  </connection>
  <connection id="3" xr16:uid="{50834364-4732-43AC-8312-E5CF65ADE99C}" name="Query - Tblemployees" description="Connection to the 'Tblemployees' query in the workbook." type="100" refreshedVersion="8" minRefreshableVersion="5">
    <extLst>
      <ext xmlns:x15="http://schemas.microsoft.com/office/spreadsheetml/2010/11/main" uri="{DE250136-89BD-433C-8126-D09CA5730AF9}">
        <x15:connection id="60518b58-bcd0-4f5c-ad2f-4b5b8476ae42"/>
      </ext>
    </extLst>
  </connection>
  <connection id="4" xr16:uid="{6DC99B92-37B4-4A02-BAD7-0331C83BCAFF}" name="Query - TblOrders" description="Connection to the 'TblOrders' query in the workbook." type="100" refreshedVersion="8" minRefreshableVersion="5">
    <extLst>
      <ext xmlns:x15="http://schemas.microsoft.com/office/spreadsheetml/2010/11/main" uri="{DE250136-89BD-433C-8126-D09CA5730AF9}">
        <x15:connection id="6a814a5d-abd1-4bec-bf27-cff62c69d65b"/>
      </ext>
    </extLst>
  </connection>
  <connection id="5" xr16:uid="{8BEF8FE1-6AA5-45C7-9F3E-339754ACB078}" name="Query - TblOrdersdetails" description="Connection to the 'TblOrdersdetails' query in the workbook." type="100" refreshedVersion="8" minRefreshableVersion="5">
    <extLst>
      <ext xmlns:x15="http://schemas.microsoft.com/office/spreadsheetml/2010/11/main" uri="{DE250136-89BD-433C-8126-D09CA5730AF9}">
        <x15:connection id="a222b3de-f907-4987-ac8d-04fdf08ddb3b"/>
      </ext>
    </extLst>
  </connection>
  <connection id="6" xr16:uid="{0D1F37A1-0143-45AB-B66D-9B66CFDCDA11}" name="Query - Tblproducts" description="Connection to the 'Tblproducts' query in the workbook." type="100" refreshedVersion="8" minRefreshableVersion="5">
    <extLst>
      <ext xmlns:x15="http://schemas.microsoft.com/office/spreadsheetml/2010/11/main" uri="{DE250136-89BD-433C-8126-D09CA5730AF9}">
        <x15:connection id="36874b9e-b40d-482b-9e3b-04d5361d4eb2"/>
      </ext>
    </extLst>
  </connection>
  <connection id="7" xr16:uid="{D383D26D-A655-436B-9575-984D1EEECDD8}" name="Query - Tblshippers" description="Connection to the 'Tblshippers' query in the workbook." type="100" refreshedVersion="8" minRefreshableVersion="5">
    <extLst>
      <ext xmlns:x15="http://schemas.microsoft.com/office/spreadsheetml/2010/11/main" uri="{DE250136-89BD-433C-8126-D09CA5730AF9}">
        <x15:connection id="4b65eb3f-4d54-41eb-a883-c812f93dfd69"/>
      </ext>
    </extLst>
  </connection>
  <connection id="8" xr16:uid="{4DBEEB85-52BF-4717-9FA7-86F4230A39B6}" name="Query - Tblsuppliers" description="Connection to the 'Tblsuppliers' query in the workbook." type="100" refreshedVersion="8" minRefreshableVersion="5">
    <extLst>
      <ext xmlns:x15="http://schemas.microsoft.com/office/spreadsheetml/2010/11/main" uri="{DE250136-89BD-433C-8126-D09CA5730AF9}">
        <x15:connection id="9a3f8ef0-caaf-4f3a-a372-f655f77563d0"/>
      </ext>
    </extLst>
  </connection>
  <connection id="9" xr16:uid="{BDAFA51F-D822-42BC-8113-1FBE214AE6D7}"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<sst xmlns="http://schemas.openxmlformats.org/spreadsheetml/2006/main" count="44" uniqueCount="34">
  <si>
    <t>Row Labels</t>
  </si>
  <si>
    <t>Grand Total</t>
  </si>
  <si>
    <t>TotalSales</t>
  </si>
  <si>
    <t>Austria</t>
  </si>
  <si>
    <t>Belgium</t>
  </si>
  <si>
    <t>Brazil</t>
  </si>
  <si>
    <t>Finland</t>
  </si>
  <si>
    <t>France</t>
  </si>
  <si>
    <t>Germany</t>
  </si>
  <si>
    <t>Ireland</t>
  </si>
  <si>
    <t>Italy</t>
  </si>
  <si>
    <t>Mexico</t>
  </si>
  <si>
    <t>Spain</t>
  </si>
  <si>
    <t>Sweden</t>
  </si>
  <si>
    <t>Switzerland</t>
  </si>
  <si>
    <t>UK</t>
  </si>
  <si>
    <t>USA</t>
  </si>
  <si>
    <t>Venezuela</t>
  </si>
  <si>
    <t>Beverages</t>
  </si>
  <si>
    <t>Condiments</t>
  </si>
  <si>
    <t>Confections</t>
  </si>
  <si>
    <t>Dairy Products</t>
  </si>
  <si>
    <t>Grains/Cereals</t>
  </si>
  <si>
    <t>Meat/Poultry</t>
  </si>
  <si>
    <t>Produce</t>
  </si>
  <si>
    <t>Seafood</t>
  </si>
  <si>
    <t>Economy</t>
  </si>
  <si>
    <t>Premium</t>
  </si>
  <si>
    <t>Standard</t>
  </si>
  <si>
    <t>FROST ONLINE SALES DASHBOARD</t>
  </si>
  <si>
    <t>NAME: Mohamed Zakaria Ahmed Zakaria | GROUP: EraSoft_Data Analysis C-28</t>
  </si>
  <si>
    <t>Sum of OrderID</t>
  </si>
  <si>
    <t>TotalQuantity</t>
  </si>
  <si>
    <t>AverageOrderValue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</si>
</sst>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0.00;\(\$#,##0.00\);\$#,##0.00"/>
    <numFmt numFmtId="167" formatCode="&quot;$&quot;#,##0.00"/>
    <numFmt numFmtId="169" formatCode="&quot;$&quot;#,##0"/>
    <numFmt numFmtId="171" formatCode="\$#,##0;\(\$#,##0\);\$#,##0"/>
  </numFmts>
  <fonts count="7" x14ac:knownFonts="1">
    <font>
      <sz val="11"/>
      <color theme="1"/>
      <name val="Aptos Narrow"/>
      <family val="2"/>
      <scheme val="minor"/>
    </font>
    <font>
      <sz val="11"/>
      <color theme="1"/>
      <name val="Aptos Narrow"/>
      <family val="2"/>
      <scheme val="minor"/>
    </font>
    <font>
      <sz val="11"/>
      <color theme="0"/>
      <name val="Aptos Narrow"/>
      <family val="2"/>
      <scheme val="minor"/>
    </font>
    <font>
      <sz val="8"/>
      <name val="Aptos Narrow"/>
      <family val="2"/>
      <scheme val="minor"/>
    </font>
    <font>
      <b/>
      <sz val="48"/>
      <color rgb="FF41431B"/>
      <name val="Aptos Narrow"/>
      <family val="2"/>
      <scheme val="minor"/>
    </font>
    <font>
      <sz val="11"/>
      <color rgb="FF41431B"/>
      <name val="Aptos Narrow"/>
      <family val="2"/>
      <scheme val="minor"/>
    </font>
    <font>
      <sz val="18"/>
      <color rgb="FF41431B"/>
      <name val="Aptos Narrow"/>
      <family val="2"/>
      <scheme val="minor"/>
    </font>
  </fonts>
  <fills count="6">
    <fill>
      <patternFill patternType="none"/>
    </fill>
    <fill>
      <patternFill patternType="gray125"/>
    </fill>
    <fill>
      <patternFill patternType="solid">
        <fgColor theme="4"/>
      </patternFill>
    </fill>
    <fill>
      <patternFill patternType="solid">
        <fgColor theme="4" tint="0.79998168889431442"/>
        <bgColor indexed="65"/>
      </patternFill>
    </fill>
    <fill>
      <patternFill patternType="solid">
        <fgColor rgb="FFF3E3D0"/>
        <bgColor indexed="64"/>
      </patternFill>
    </fill>
    <fill>
      <patternFill patternType="solid">
        <fgColor rgb="FFAEB784"/>
        <bgColor indexed="64"/>
      </patternFill>
    </fill>
  </fills>
  <borders count="1">
    <border>
      <left/>
      <right/>
      <top/>
      <bottom/>
      <diagonal/>
    </border>
  </borders>
  <cellStyleXfs count="3">
    <xf numFmtId="0" fontId="0" fillId="0" borderId="0"/>
    <xf numFmtId="0" fontId="2" fillId="2" borderId="0" applyNumberFormat="0" applyBorder="0" applyAlignment="0" applyProtection="0"/>
    <xf numFmtId="0" fontId="1" fillId="3" borderId="0" applyNumberFormat="0" applyBorder="0" applyAlignment="0" applyProtection="0"/>
  </cellStyleXfs>
  <cellXfs count="19">
    <xf numFmtId="0" fontId="0" fillId="0" borderId="0" xfId="0"/>
    <xf numFmtId="0" fontId="0" fillId="0" borderId="0" xfId="0" pivotButton="1"/>
    <xf numFmtId="0" fontId="0" fillId="0" borderId="0" xfId="0" applyAlignment="1">
      <alignment horizontal="left"/>
    </xf>
    <xf numFmtId="0" fontId="0" fillId="0" borderId="0" xfId="0" applyAlignment="1">
      <alignment horizontal="left" indent="1"/>
    </xf>
    <xf numFmtId="164" fontId="0" fillId="0" borderId="0" xfId="0" applyNumberFormat="1"/>
    <xf numFmtId="0" fontId="0" fillId="0" borderId="0" xfId="0" applyNumberFormat="1"/>
    <xf numFmtId="0" fontId="0" fillId="4" borderId="0" xfId="0" applyFill="1"/>
    <xf numFmtId="0" fontId="0" fillId="4" borderId="0" xfId="0" applyFill="1" applyAlignment="1">
      <alignment horizontal="center"/>
    </xf>
    <xf numFmtId="0" fontId="0" fillId="5" borderId="0" xfId="0" applyFill="1"/>
    <xf numFmtId="0" fontId="4" fillId="4" borderId="0" xfId="0" applyFont="1" applyFill="1"/>
    <xf numFmtId="0" fontId="5" fillId="4" borderId="0" xfId="0" applyFont="1" applyFill="1"/>
    <xf numFmtId="0" fontId="5" fillId="5" borderId="0" xfId="0" applyFont="1" applyFill="1"/>
    <xf numFmtId="0" fontId="6" fillId="5" borderId="0" xfId="0" applyFont="1" applyFill="1"/>
    <xf numFmtId="169" fontId="0" fillId="0" borderId="0" xfId="0" applyNumberFormat="1" applyAlignment="1">
      <alignment horizontal="left"/>
    </xf>
    <xf numFmtId="171" fontId="0" fillId="0" borderId="0" xfId="0" applyNumberFormat="1" applyAlignment="1">
      <alignment horizontal="left"/>
    </xf>
    <xf numFmtId="0" fontId="2" fillId="2" borderId="0" xfId="1"/>
    <xf numFmtId="0" fontId="2" fillId="2" borderId="0" xfId="1" applyAlignment="1">
      <alignment horizontal="left" vertical="top"/>
    </xf>
    <xf numFmtId="167" fontId="1" fillId="3" borderId="0" xfId="2" applyNumberFormat="1" applyAlignment="1">
      <alignment horizontal="left" vertical="top"/>
    </xf>
    <xf numFmtId="169" fontId="1" fillId="3" borderId="0" xfId="2" applyNumberFormat="1" applyAlignment="1">
      <alignment horizontal="left"/>
    </xf>
  </cellXfs>
  <cellStyles count="3">
    <cellStyle name="20% - Accent1" xfId="2" builtinId="30"/>
    <cellStyle name="Accent1" xfId="1" builtinId="29"/>
    <cellStyle name="Normal" xfId="0" builtinId="0"/>
  </cellStyles>
  <dxfs count="14">
    <dxf>
      <numFmt numFmtId="169" formatCode="&quot;$&quot;#,##0"/>
    </dxf>
    <dxf>
      <alignment horizontal="left"/>
    </dxf>
    <dxf>
      <numFmt numFmtId="169" formatCode="&quot;$&quot;#,##0"/>
    </dxf>
    <dxf>
      <alignment horizontal="left"/>
    </dxf>
    <dxf>
      <numFmt numFmtId="171" formatCode="\$#,##0;\(\$#,##0\);\$#,##0"/>
    </dxf>
    <dxf>
      <alignment horizontal="left"/>
    </dxf>
    <dxf>
      <alignment horizontal="left"/>
    </dxf>
    <dxf>
      <numFmt numFmtId="171" formatCode="\$#,##0;\(\$#,##0\);\$#,##0"/>
    </dxf>
    <dxf>
      <fill>
        <patternFill>
          <bgColor rgb="FFAEB784"/>
        </patternFill>
      </fill>
    </dxf>
    <dxf>
      <fill>
        <patternFill>
          <bgColor rgb="FFF8F3E1"/>
        </patternFill>
      </fill>
    </dxf>
    <dxf>
      <fill>
        <patternFill>
          <bgColor rgb="FFE3DBBB"/>
        </patternFill>
      </fill>
    </dxf>
    <dxf>
      <fill>
        <patternFill>
          <bgColor rgb="FF41431B"/>
        </patternFill>
      </fill>
    </dxf>
    <dxf>
      <fill>
        <patternFill>
          <bgColor rgb="FF41431B"/>
        </patternFill>
      </fill>
    </dxf>
    <dxf>
      <fill>
        <patternFill>
          <bgColor rgb="FF6A7E3F"/>
        </patternFill>
      </fill>
    </dxf>
  </dxfs>
  <tableStyles count="8" defaultTableStyle="TableStyleMedium2" defaultPivotStyle="PivotStyleLight16">
    <tableStyle name="Slicer Style 1" pivot="0" table="0" count="1" xr9:uid="{C77A1436-8B09-4040-A08E-F1443A20B880}">
      <tableStyleElement type="wholeTable" dxfId="13"/>
    </tableStyle>
    <tableStyle name="Slicer Style 2" pivot="0" table="0" count="0" xr9:uid="{E1947476-6481-4CC5-9949-E170CBDDAAD0}"/>
    <tableStyle name="Slicer Style 3" pivot="0" table="0" count="0" xr9:uid="{87809BA6-69D2-4032-A0FC-263EA7D2C69C}"/>
    <tableStyle name="Slicer Style 4" pivot="0" table="0" count="1" xr9:uid="{B8579960-B79A-4C1D-8B10-7106172DE995}">
      <tableStyleElement type="headerRow" dxfId="12"/>
    </tableStyle>
    <tableStyle name="Slicer Style 5" pivot="0" table="0" count="1" xr9:uid="{94A77361-0E1D-44BA-8904-EC553DB7D058}">
      <tableStyleElement type="wholeTable" dxfId="11"/>
    </tableStyle>
    <tableStyle name="Slicer Style 6" pivot="0" table="0" count="1" xr9:uid="{6DCE5768-DACB-405F-B27E-94A9CBC1769E}">
      <tableStyleElement type="wholeTable" dxfId="10"/>
    </tableStyle>
    <tableStyle name="Slicer Style 7" pivot="0" table="0" count="1" xr9:uid="{900BC23A-19F8-4D8C-B944-BF1D0E687EBC}">
      <tableStyleElement type="wholeTable" dxfId="9"/>
    </tableStyle>
    <tableStyle name="Slicer Style 8" pivot="0" table="0" count="1" xr9:uid="{E816BABF-33F9-40EB-B9ED-1036E51371B3}">
      <tableStyleElement type="wholeTable" dxfId="8"/>
    </tableStyle>
  </tableStyles>
  <colors>
    <mruColors>
      <color rgb="FFAEB784"/>
      <color rgb="FF41431B"/>
      <color rgb="FFF8F3E1"/>
      <color rgb="FF6A7E3F"/>
      <color rgb="FFE3DBBB"/>
      <color rgb="FF81A6C6"/>
      <color rgb="FFAACDDC"/>
      <color rgb="FFF3E3D0"/>
      <color rgb="FFD2C4B4"/>
    </mruColors>
  </colors>
  <extLst>
    <ext xmlns:x14="http://schemas.microsoft.com/office/spreadsheetml/2009/9/main" uri="{EB79DEF2-80B8-43e5-95BD-54CBDDF9020C}">
      <x14:slicerStyles defaultSlicerStyle="SlicerStyleLight1">
        <x14:slicerStyle name="Slicer Style 1"/>
        <x14:slicerStyle name="Slicer Style 2"/>
        <x14:slicerStyle name="Slicer Style 3"/>
        <x14:slicerStyle name="Slicer Style 4"/>
        <x14:slicerStyle name="Slicer Style 5"/>
        <x14:slicerStyle name="Slicer Style 6"/>
        <x14:slicerStyle name="Slicer Style 7"/>
        <x14:slicerStyle name="Slicer Style 8"/>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microsoft.com/office/2007/relationships/slicerCache" Target="slicerCaches/slicerCache4.xml"/><Relationship Id="rId18" Type="http://schemas.openxmlformats.org/officeDocument/2006/relationships/sharedStrings" Target="sharedStrings.xml"/><Relationship Id="rId26" Type="http://schemas.openxmlformats.org/officeDocument/2006/relationships/customXml" Target="../customXml/item5.xml"/><Relationship Id="rId39" Type="http://schemas.openxmlformats.org/officeDocument/2006/relationships/customXml" Target="../customXml/item18.xml"/><Relationship Id="rId21" Type="http://schemas.openxmlformats.org/officeDocument/2006/relationships/calcChain" Target="calcChain.xml"/><Relationship Id="rId34" Type="http://schemas.openxmlformats.org/officeDocument/2006/relationships/customXml" Target="../customXml/item13.xml"/><Relationship Id="rId42" Type="http://schemas.openxmlformats.org/officeDocument/2006/relationships/customXml" Target="../customXml/item21.xml"/><Relationship Id="rId47" Type="http://schemas.openxmlformats.org/officeDocument/2006/relationships/customXml" Target="../customXml/item26.xml"/><Relationship Id="rId50" Type="http://schemas.openxmlformats.org/officeDocument/2006/relationships/customXml" Target="../customXml/item29.xml"/><Relationship Id="rId7" Type="http://schemas.openxmlformats.org/officeDocument/2006/relationships/pivotCacheDefinition" Target="pivotCache/pivotCacheDefinition4.xml"/><Relationship Id="rId2" Type="http://schemas.openxmlformats.org/officeDocument/2006/relationships/worksheet" Target="worksheets/sheet2.xml"/><Relationship Id="rId16" Type="http://schemas.openxmlformats.org/officeDocument/2006/relationships/connections" Target="connections.xml"/><Relationship Id="rId29" Type="http://schemas.openxmlformats.org/officeDocument/2006/relationships/customXml" Target="../customXml/item8.xml"/><Relationship Id="rId11" Type="http://schemas.microsoft.com/office/2007/relationships/slicerCache" Target="slicerCaches/slicerCache2.xml"/><Relationship Id="rId24" Type="http://schemas.openxmlformats.org/officeDocument/2006/relationships/customXml" Target="../customXml/item3.xml"/><Relationship Id="rId32" Type="http://schemas.openxmlformats.org/officeDocument/2006/relationships/customXml" Target="../customXml/item11.xml"/><Relationship Id="rId37" Type="http://schemas.openxmlformats.org/officeDocument/2006/relationships/customXml" Target="../customXml/item16.xml"/><Relationship Id="rId40" Type="http://schemas.openxmlformats.org/officeDocument/2006/relationships/customXml" Target="../customXml/item19.xml"/><Relationship Id="rId45" Type="http://schemas.openxmlformats.org/officeDocument/2006/relationships/customXml" Target="../customXml/item24.xml"/><Relationship Id="rId5" Type="http://schemas.openxmlformats.org/officeDocument/2006/relationships/pivotCacheDefinition" Target="pivotCache/pivotCacheDefinition2.xml"/><Relationship Id="rId15" Type="http://schemas.openxmlformats.org/officeDocument/2006/relationships/theme" Target="theme/theme1.xml"/><Relationship Id="rId23" Type="http://schemas.openxmlformats.org/officeDocument/2006/relationships/customXml" Target="../customXml/item2.xml"/><Relationship Id="rId28" Type="http://schemas.openxmlformats.org/officeDocument/2006/relationships/customXml" Target="../customXml/item7.xml"/><Relationship Id="rId36" Type="http://schemas.openxmlformats.org/officeDocument/2006/relationships/customXml" Target="../customXml/item15.xml"/><Relationship Id="rId49" Type="http://schemas.openxmlformats.org/officeDocument/2006/relationships/customXml" Target="../customXml/item28.xml"/><Relationship Id="rId10" Type="http://schemas.microsoft.com/office/2007/relationships/slicerCache" Target="slicerCaches/slicerCache1.xml"/><Relationship Id="rId19" Type="http://schemas.openxmlformats.org/officeDocument/2006/relationships/sheetMetadata" Target="metadata.xml"/><Relationship Id="rId31" Type="http://schemas.openxmlformats.org/officeDocument/2006/relationships/customXml" Target="../customXml/item10.xml"/><Relationship Id="rId44" Type="http://schemas.openxmlformats.org/officeDocument/2006/relationships/customXml" Target="../customXml/item23.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microsoft.com/office/2007/relationships/slicerCache" Target="slicerCaches/slicerCache5.xml"/><Relationship Id="rId22" Type="http://schemas.openxmlformats.org/officeDocument/2006/relationships/customXml" Target="../customXml/item1.xml"/><Relationship Id="rId27" Type="http://schemas.openxmlformats.org/officeDocument/2006/relationships/customXml" Target="../customXml/item6.xml"/><Relationship Id="rId30" Type="http://schemas.openxmlformats.org/officeDocument/2006/relationships/customXml" Target="../customXml/item9.xml"/><Relationship Id="rId35" Type="http://schemas.openxmlformats.org/officeDocument/2006/relationships/customXml" Target="../customXml/item14.xml"/><Relationship Id="rId43" Type="http://schemas.openxmlformats.org/officeDocument/2006/relationships/customXml" Target="../customXml/item22.xml"/><Relationship Id="rId48" Type="http://schemas.openxmlformats.org/officeDocument/2006/relationships/customXml" Target="../customXml/item27.xml"/><Relationship Id="rId8" Type="http://schemas.openxmlformats.org/officeDocument/2006/relationships/pivotCacheDefinition" Target="pivotCache/pivotCacheDefinition5.xml"/><Relationship Id="rId3" Type="http://schemas.openxmlformats.org/officeDocument/2006/relationships/worksheet" Target="worksheets/sheet3.xml"/><Relationship Id="rId12" Type="http://schemas.microsoft.com/office/2007/relationships/slicerCache" Target="slicerCaches/slicerCache3.xml"/><Relationship Id="rId17" Type="http://schemas.openxmlformats.org/officeDocument/2006/relationships/styles" Target="styles.xml"/><Relationship Id="rId25" Type="http://schemas.openxmlformats.org/officeDocument/2006/relationships/customXml" Target="../customXml/item4.xml"/><Relationship Id="rId33" Type="http://schemas.openxmlformats.org/officeDocument/2006/relationships/customXml" Target="../customXml/item12.xml"/><Relationship Id="rId38" Type="http://schemas.openxmlformats.org/officeDocument/2006/relationships/customXml" Target="../customXml/item17.xml"/><Relationship Id="rId46" Type="http://schemas.openxmlformats.org/officeDocument/2006/relationships/customXml" Target="../customXml/item25.xml"/><Relationship Id="rId20" Type="http://schemas.openxmlformats.org/officeDocument/2006/relationships/powerPivotData" Target="model/item.data"/><Relationship Id="rId41" Type="http://schemas.openxmlformats.org/officeDocument/2006/relationships/customXml" Target="../customXml/item20.xml"/><Relationship Id="rId1" Type="http://schemas.openxmlformats.org/officeDocument/2006/relationships/worksheet" Target="worksheets/sheet1.xml"/><Relationship Id="rId6" Type="http://schemas.openxmlformats.org/officeDocument/2006/relationships/pivotCacheDefinition" Target="pivotCache/pivotCacheDefinition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[pivot.xlsx]PivotTable1!PivotTable1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Year and Month</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PivotTable1!$C$3</c:f>
              <c:strCache>
                <c:ptCount val="1"/>
                <c:pt idx="0">
                  <c:v>Total</c:v>
                </c:pt>
              </c:strCache>
            </c:strRef>
          </c:tx>
          <c:dPt>
            <c:idx val="0"/>
            <c:bubble3D val="0"/>
            <c:spPr>
              <a:solidFill>
                <a:schemeClr val="accent1"/>
              </a:solidFill>
              <a:ln>
                <a:noFill/>
              </a:ln>
              <a:effectLst/>
            </c:spPr>
          </c:dPt>
          <c:dPt>
            <c:idx val="1"/>
            <c:bubble3D val="0"/>
            <c:spPr>
              <a:solidFill>
                <a:schemeClr val="accent2"/>
              </a:solidFill>
              <a:ln>
                <a:noFill/>
              </a:ln>
              <a:effectLst/>
            </c:spPr>
          </c:dPt>
          <c:dPt>
            <c:idx val="2"/>
            <c:bubble3D val="0"/>
            <c:spPr>
              <a:solidFill>
                <a:schemeClr val="accent3"/>
              </a:solidFill>
              <a:ln>
                <a:noFill/>
              </a:ln>
              <a:effectLst/>
            </c:spPr>
          </c:dPt>
          <c:dPt>
            <c:idx val="3"/>
            <c:bubble3D val="0"/>
            <c:spPr>
              <a:solidFill>
                <a:schemeClr val="accent4"/>
              </a:solidFill>
              <a:ln>
                <a:no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multiLvlStrRef>
              <c:f>PivotTable1!$B$4:$B$12</c:f>
              <c:multiLvlStrCache>
                <c:ptCount val="4"/>
                <c:lvl>
                  <c:pt idx="0">
                    <c:v>1996</c:v>
                  </c:pt>
                  <c:pt idx="1">
                    <c:v>1996</c:v>
                  </c:pt>
                  <c:pt idx="2">
                    <c:v>1996</c:v>
                  </c:pt>
                  <c:pt idx="3">
                    <c:v>1996</c:v>
                  </c:pt>
                </c:lvl>
                <c:lvl>
                  <c:pt idx="0">
                    <c:v>7</c:v>
                  </c:pt>
                  <c:pt idx="1">
                    <c:v>8</c:v>
                  </c:pt>
                  <c:pt idx="2">
                    <c:v>9</c:v>
                  </c:pt>
                  <c:pt idx="3">
                    <c:v>10</c:v>
                  </c:pt>
                </c:lvl>
              </c:multiLvlStrCache>
            </c:multiLvlStrRef>
          </c:cat>
          <c:val>
            <c:numRef>
              <c:f>PivotTable1!$C$4:$C$12</c:f>
              <c:numCache>
                <c:formatCode>\$#,##0.00;\(\$#,##0.00\);\$#,##0.00</c:formatCode>
                <c:ptCount val="4"/>
                <c:pt idx="0">
                  <c:v>37358.85</c:v>
                </c:pt>
                <c:pt idx="1">
                  <c:v>33285.49</c:v>
                </c:pt>
                <c:pt idx="2">
                  <c:v>34565.599999999999</c:v>
                </c:pt>
                <c:pt idx="3">
                  <c:v>7148.35</c:v>
                </c:pt>
              </c:numCache>
            </c:numRef>
          </c:val>
          <c:extLst>
            <c:ext xmlns:c16="http://schemas.microsoft.com/office/drawing/2014/chart" uri="{C3380CC4-5D6E-409C-BE32-E72D297353CC}">
              <c16:uniqueId val="{00000006-CCB5-422B-87FE-12A42B42311E}"/>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[pivot.xlsx]PivotTable1!PivotTable3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58"/>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59"/>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60"/>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61"/>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62"/>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63"/>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64"/>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65"/>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66"/>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67"/>
        <c:spPr>
          <a:solidFill>
            <a:schemeClr val="accent1"/>
          </a:solidFill>
          <a:ln>
            <a:noFill/>
          </a:ln>
          <a:effectLst/>
        </c:spPr>
      </c:pivotFmt>
    </c:pivotFmts>
    <c:plotArea>
      <c:layout/>
      <c:barChart>
        <c:barDir val="col"/>
        <c:grouping val="clustered"/>
        <c:varyColors val="0"/>
        <c:ser>
          <c:idx val="0"/>
          <c:order val="0"/>
          <c:tx>
            <c:strRef>
              <c:f>PivotTable1!$R$11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PivotTable1!$Q$12:$Q$20</c:f>
              <c:strCache>
                <c:ptCount val="8"/>
                <c:pt idx="0">
                  <c:v>Beverages</c:v>
                </c:pt>
                <c:pt idx="1">
                  <c:v>Condiments</c:v>
                </c:pt>
                <c:pt idx="2">
                  <c:v>Confections</c:v>
                </c:pt>
                <c:pt idx="3">
                  <c:v>Dairy Products</c:v>
                </c:pt>
                <c:pt idx="4">
                  <c:v>Grains/Cereals</c:v>
                </c:pt>
                <c:pt idx="5">
                  <c:v>Meat/Poultry</c:v>
                </c:pt>
                <c:pt idx="6">
                  <c:v>Produce</c:v>
                </c:pt>
                <c:pt idx="7">
                  <c:v>Seafood</c:v>
                </c:pt>
              </c:strCache>
            </c:strRef>
          </c:cat>
          <c:val>
            <c:numRef>
              <c:f>PivotTable1!$R$12:$R$20</c:f>
              <c:numCache>
                <c:formatCode>\$#,##0.00;\(\$#,##0.00\);\$#,##0.00</c:formatCode>
                <c:ptCount val="8"/>
                <c:pt idx="0">
                  <c:v>19167.5</c:v>
                </c:pt>
                <c:pt idx="1">
                  <c:v>7643.85</c:v>
                </c:pt>
                <c:pt idx="2">
                  <c:v>22869.1</c:v>
                </c:pt>
                <c:pt idx="3">
                  <c:v>23589.9</c:v>
                </c:pt>
                <c:pt idx="4">
                  <c:v>3111.75</c:v>
                </c:pt>
                <c:pt idx="5">
                  <c:v>14154.05</c:v>
                </c:pt>
                <c:pt idx="6">
                  <c:v>8319.85</c:v>
                </c:pt>
                <c:pt idx="7">
                  <c:v>13502.29</c:v>
                </c:pt>
              </c:numCache>
            </c:numRef>
          </c:val>
          <c:extLst>
            <c:ext xmlns:c16="http://schemas.microsoft.com/office/drawing/2014/chart" uri="{C3380CC4-5D6E-409C-BE32-E72D297353CC}">
              <c16:uniqueId val="{00000048-3128-483B-AA7D-C73A38660E03}"/>
            </c:ext>
          </c:extLst>
        </c:ser>
        <c:dLbls>
          <c:showLegendKey val="0"/>
          <c:showVal val="0"/>
          <c:showCatName val="0"/>
          <c:showSerName val="0"/>
          <c:showPercent val="0"/>
          <c:showBubbleSize val="0"/>
        </c:dLbls>
        <c:gapWidth val="219"/>
        <c:axId val="21512975"/>
        <c:axId val="21512015"/>
      </c:barChart>
      <c:valAx>
        <c:axId val="21512015"/>
        <c:scaling>
          <c:orientation val="minMax"/>
        </c:scaling>
        <c:delete val="0"/>
        <c:axPos val="l"/>
        <c:numFmt formatCode="\$#,##0.00;\(\$#,##0.00\);\$#,##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512975"/>
        <c:crosses val="autoZero"/>
        <c:crossBetween val="between"/>
      </c:valAx>
      <c:catAx>
        <c:axId val="2151297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512015"/>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[pivot.xlsx]PivotTable1!PivotTable4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PriceSegment</a:t>
            </a:r>
            <a:endParaRPr lang="en-US"/>
          </a:p>
        </c:rich>
      </c:tx>
      <c:layout>
        <c:manualLayout>
          <c:xMode val="edge"/>
          <c:yMode val="edge"/>
          <c:x val="0.3304851766946853"/>
          <c:y val="4.166666666666666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PivotTable1!$W$10</c:f>
              <c:strCache>
                <c:ptCount val="1"/>
                <c:pt idx="0">
                  <c:v>Total</c:v>
                </c:pt>
              </c:strCache>
            </c:strRef>
          </c:tx>
          <c:dPt>
            <c:idx val="0"/>
            <c:bubble3D val="0"/>
            <c:spPr>
              <a:solidFill>
                <a:schemeClr val="accent1"/>
              </a:solidFill>
              <a:ln>
                <a:noFill/>
              </a:ln>
              <a:effectLst/>
            </c:spPr>
          </c:dPt>
          <c:dPt>
            <c:idx val="1"/>
            <c:bubble3D val="0"/>
            <c:spPr>
              <a:solidFill>
                <a:schemeClr val="accent2"/>
              </a:solidFill>
              <a:ln>
                <a:noFill/>
              </a:ln>
              <a:effectLst/>
            </c:spPr>
          </c:dPt>
          <c:dPt>
            <c:idx val="2"/>
            <c:bubble3D val="0"/>
            <c:spPr>
              <a:solidFill>
                <a:schemeClr val="accent3"/>
              </a:solidFill>
              <a:ln>
                <a:noFill/>
              </a:ln>
              <a:effectLst/>
            </c:spPr>
          </c:dPt>
          <c:cat>
            <c:strRef>
              <c:f>PivotTable1!$V$11:$V$14</c:f>
              <c:strCache>
                <c:ptCount val="3"/>
                <c:pt idx="0">
                  <c:v>Economy</c:v>
                </c:pt>
                <c:pt idx="1">
                  <c:v>Premium</c:v>
                </c:pt>
                <c:pt idx="2">
                  <c:v>Standard</c:v>
                </c:pt>
              </c:strCache>
            </c:strRef>
          </c:cat>
          <c:val>
            <c:numRef>
              <c:f>PivotTable1!$W$11:$W$14</c:f>
              <c:numCache>
                <c:formatCode>\$#,##0.00;\(\$#,##0.00\);\$#,##0.00</c:formatCode>
                <c:ptCount val="3"/>
                <c:pt idx="0">
                  <c:v>35545.35</c:v>
                </c:pt>
                <c:pt idx="1">
                  <c:v>48201.9</c:v>
                </c:pt>
                <c:pt idx="2">
                  <c:v>28611.040000000001</c:v>
                </c:pt>
              </c:numCache>
            </c:numRef>
          </c:val>
          <c:extLst>
            <c:ext xmlns:c16="http://schemas.microsoft.com/office/drawing/2014/chart" uri="{C3380CC4-5D6E-409C-BE32-E72D297353CC}">
              <c16:uniqueId val="{00000004-A4F9-47EB-ABA0-4352E9EDE772}"/>
            </c:ext>
          </c:extLst>
        </c:ser>
        <c:dLbls>
          <c:showLegendKey val="0"/>
          <c:showVal val="0"/>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[pivot.xlsx]PivotTable1!PivotTable2</c:name>
    <c:fmtId val="8"/>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0" i="0" u="none" strike="noStrike" kern="1200" spc="0" baseline="0">
                <a:solidFill>
                  <a:sysClr val="windowText" lastClr="000000">
                    <a:lumMod val="65000"/>
                    <a:lumOff val="35000"/>
                  </a:sysClr>
                </a:solidFill>
              </a:rPr>
              <a:t>Sales By Country</a:t>
            </a:r>
          </a:p>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PivotTable1!$I$4</c:f>
              <c:strCache>
                <c:ptCount val="1"/>
                <c:pt idx="0">
                  <c:v>Total</c:v>
                </c:pt>
              </c:strCache>
            </c:strRef>
          </c:tx>
          <c:spPr>
            <a:ln w="28575" cap="rnd">
              <a:solidFill>
                <a:schemeClr val="accent1"/>
              </a:solidFill>
              <a:round/>
            </a:ln>
            <a:effectLst/>
          </c:spPr>
          <c:marker>
            <c:symbol val="none"/>
          </c:marker>
          <c:cat>
            <c:strRef>
              <c:f>PivotTable1!$H$5:$H$20</c:f>
              <c:strCache>
                <c:ptCount val="15"/>
                <c:pt idx="0">
                  <c:v>Austria</c:v>
                </c:pt>
                <c:pt idx="1">
                  <c:v>Belgium</c:v>
                </c:pt>
                <c:pt idx="2">
                  <c:v>Brazil</c:v>
                </c:pt>
                <c:pt idx="3">
                  <c:v>Finland</c:v>
                </c:pt>
                <c:pt idx="4">
                  <c:v>France</c:v>
                </c:pt>
                <c:pt idx="5">
                  <c:v>Germany</c:v>
                </c:pt>
                <c:pt idx="6">
                  <c:v>Ireland</c:v>
                </c:pt>
                <c:pt idx="7">
                  <c:v>Italy</c:v>
                </c:pt>
                <c:pt idx="8">
                  <c:v>Mexico</c:v>
                </c:pt>
                <c:pt idx="9">
                  <c:v>Spain</c:v>
                </c:pt>
                <c:pt idx="10">
                  <c:v>Sweden</c:v>
                </c:pt>
                <c:pt idx="11">
                  <c:v>Switzerland</c:v>
                </c:pt>
                <c:pt idx="12">
                  <c:v>UK</c:v>
                </c:pt>
                <c:pt idx="13">
                  <c:v>USA</c:v>
                </c:pt>
                <c:pt idx="14">
                  <c:v>Venezuela</c:v>
                </c:pt>
              </c:strCache>
            </c:strRef>
          </c:cat>
          <c:val>
            <c:numRef>
              <c:f>PivotTable1!$I$5:$I$20</c:f>
              <c:numCache>
                <c:formatCode>\$#,##0.00;\(\$#,##0.00\);\$#,##0.00</c:formatCode>
                <c:ptCount val="15"/>
                <c:pt idx="0">
                  <c:v>5616.15</c:v>
                </c:pt>
                <c:pt idx="1">
                  <c:v>8051.3</c:v>
                </c:pt>
                <c:pt idx="2">
                  <c:v>14233.15</c:v>
                </c:pt>
                <c:pt idx="3">
                  <c:v>3387</c:v>
                </c:pt>
                <c:pt idx="4">
                  <c:v>4826.1000000000004</c:v>
                </c:pt>
                <c:pt idx="5">
                  <c:v>21521.25</c:v>
                </c:pt>
                <c:pt idx="6">
                  <c:v>6112</c:v>
                </c:pt>
                <c:pt idx="7">
                  <c:v>1256</c:v>
                </c:pt>
                <c:pt idx="8">
                  <c:v>4646.3999999999996</c:v>
                </c:pt>
                <c:pt idx="9">
                  <c:v>2481.69</c:v>
                </c:pt>
                <c:pt idx="10">
                  <c:v>3535.15</c:v>
                </c:pt>
                <c:pt idx="11">
                  <c:v>3897.25</c:v>
                </c:pt>
                <c:pt idx="12">
                  <c:v>1726.25</c:v>
                </c:pt>
                <c:pt idx="13">
                  <c:v>25205.5</c:v>
                </c:pt>
                <c:pt idx="14">
                  <c:v>5863.1</c:v>
                </c:pt>
              </c:numCache>
            </c:numRef>
          </c:val>
          <c:smooth val="0"/>
          <c:extLst>
            <c:ext xmlns:c16="http://schemas.microsoft.com/office/drawing/2014/chart" uri="{C3380CC4-5D6E-409C-BE32-E72D297353CC}">
              <c16:uniqueId val="{00000005-36F2-478A-BEC9-FF1A6B622296}"/>
            </c:ext>
          </c:extLst>
        </c:ser>
        <c:dLbls>
          <c:dLblPos val="t"/>
          <c:showLegendKey val="0"/>
          <c:showVal val="0"/>
          <c:showCatName val="0"/>
          <c:showSerName val="0"/>
          <c:showPercent val="0"/>
          <c:showBubbleSize val="0"/>
        </c:dLbls>
        <c:smooth val="0"/>
        <c:axId val="80067503"/>
        <c:axId val="80067983"/>
      </c:lineChart>
      <c:catAx>
        <c:axId val="8006750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067983"/>
        <c:crosses val="autoZero"/>
        <c:auto val="1"/>
        <c:lblAlgn val="ctr"/>
        <c:lblOffset val="100"/>
        <c:noMultiLvlLbl val="0"/>
      </c:catAx>
      <c:valAx>
        <c:axId val="80067983"/>
        <c:scaling>
          <c:orientation val="minMax"/>
        </c:scaling>
        <c:delete val="0"/>
        <c:axPos val="l"/>
        <c:numFmt formatCode="\$#,##0.00;\(\$#,##0.00\);\$#,##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067503"/>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[pivot.xlsx]PivotTable1!PivotTable1</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Year and Month</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41431B"/>
          </a:solidFill>
          <a:ln>
            <a:solidFill>
              <a:srgbClr val="F3E3D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6A7E3F"/>
          </a:solidFill>
          <a:ln>
            <a:solidFill>
              <a:srgbClr val="6A7E3F"/>
            </a:solidFill>
          </a:ln>
          <a:effectLst/>
        </c:spPr>
      </c:pivotFmt>
      <c:pivotFmt>
        <c:idx val="4"/>
        <c:spPr>
          <a:solidFill>
            <a:srgbClr val="AEB784"/>
          </a:solidFill>
          <a:ln>
            <a:solidFill>
              <a:srgbClr val="F3E3D0"/>
            </a:solidFill>
          </a:ln>
          <a:effectLst/>
        </c:spPr>
      </c:pivotFmt>
      <c:pivotFmt>
        <c:idx val="5"/>
        <c:spPr>
          <a:solidFill>
            <a:srgbClr val="F8F3E1"/>
          </a:solidFill>
          <a:ln>
            <a:solidFill>
              <a:srgbClr val="F3E3D0"/>
            </a:solidFill>
          </a:ln>
          <a:effectLst/>
        </c:spPr>
      </c:pivotFmt>
    </c:pivotFmts>
    <c:plotArea>
      <c:layout/>
      <c:pieChart>
        <c:varyColors val="1"/>
        <c:ser>
          <c:idx val="0"/>
          <c:order val="0"/>
          <c:tx>
            <c:strRef>
              <c:f>PivotTable1!$C$3</c:f>
              <c:strCache>
                <c:ptCount val="1"/>
                <c:pt idx="0">
                  <c:v>Total</c:v>
                </c:pt>
              </c:strCache>
            </c:strRef>
          </c:tx>
          <c:spPr>
            <a:solidFill>
              <a:srgbClr val="41431B"/>
            </a:solidFill>
            <a:ln>
              <a:solidFill>
                <a:srgbClr val="F3E3D0"/>
              </a:solidFill>
            </a:ln>
          </c:spPr>
          <c:dPt>
            <c:idx val="0"/>
            <c:bubble3D val="0"/>
            <c:spPr>
              <a:solidFill>
                <a:srgbClr val="41431B"/>
              </a:solidFill>
              <a:ln>
                <a:solidFill>
                  <a:srgbClr val="F3E3D0"/>
                </a:solidFill>
              </a:ln>
              <a:effectLst/>
            </c:spPr>
          </c:dPt>
          <c:dPt>
            <c:idx val="1"/>
            <c:bubble3D val="0"/>
            <c:spPr>
              <a:solidFill>
                <a:srgbClr val="AEB784"/>
              </a:solidFill>
              <a:ln>
                <a:solidFill>
                  <a:srgbClr val="F3E3D0"/>
                </a:solidFill>
              </a:ln>
              <a:effectLst/>
            </c:spPr>
          </c:dPt>
          <c:dPt>
            <c:idx val="2"/>
            <c:bubble3D val="0"/>
            <c:spPr>
              <a:solidFill>
                <a:srgbClr val="6A7E3F"/>
              </a:solidFill>
              <a:ln>
                <a:solidFill>
                  <a:srgbClr val="6A7E3F"/>
                </a:solidFill>
              </a:ln>
              <a:effectLst/>
            </c:spPr>
          </c:dPt>
          <c:dPt>
            <c:idx val="3"/>
            <c:bubble3D val="0"/>
            <c:spPr>
              <a:solidFill>
                <a:srgbClr val="F8F3E1"/>
              </a:solidFill>
              <a:ln>
                <a:solidFill>
                  <a:srgbClr val="F3E3D0"/>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multiLvlStrRef>
              <c:f>PivotTable1!$B$4:$B$12</c:f>
              <c:multiLvlStrCache>
                <c:ptCount val="4"/>
                <c:lvl>
                  <c:pt idx="0">
                    <c:v>1996</c:v>
                  </c:pt>
                  <c:pt idx="1">
                    <c:v>1996</c:v>
                  </c:pt>
                  <c:pt idx="2">
                    <c:v>1996</c:v>
                  </c:pt>
                  <c:pt idx="3">
                    <c:v>1996</c:v>
                  </c:pt>
                </c:lvl>
                <c:lvl>
                  <c:pt idx="0">
                    <c:v>7</c:v>
                  </c:pt>
                  <c:pt idx="1">
                    <c:v>8</c:v>
                  </c:pt>
                  <c:pt idx="2">
                    <c:v>9</c:v>
                  </c:pt>
                  <c:pt idx="3">
                    <c:v>10</c:v>
                  </c:pt>
                </c:lvl>
              </c:multiLvlStrCache>
            </c:multiLvlStrRef>
          </c:cat>
          <c:val>
            <c:numRef>
              <c:f>PivotTable1!$C$4:$C$12</c:f>
              <c:numCache>
                <c:formatCode>\$#,##0.00;\(\$#,##0.00\);\$#,##0.00</c:formatCode>
                <c:ptCount val="4"/>
                <c:pt idx="0">
                  <c:v>37358.85</c:v>
                </c:pt>
                <c:pt idx="1">
                  <c:v>33285.49</c:v>
                </c:pt>
                <c:pt idx="2">
                  <c:v>34565.599999999999</c:v>
                </c:pt>
                <c:pt idx="3">
                  <c:v>7148.35</c:v>
                </c:pt>
              </c:numCache>
            </c:numRef>
          </c:val>
          <c:extLst>
            <c:ext xmlns:c16="http://schemas.microsoft.com/office/drawing/2014/chart" uri="{C3380CC4-5D6E-409C-BE32-E72D297353CC}">
              <c16:uniqueId val="{00000009-BB5A-415F-B81F-7BFB728CAE27}"/>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[pivot.xlsx]PivotTable1!PivotTable3</c:name>
    <c:fmtId val="2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58"/>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59"/>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60"/>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61"/>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62"/>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63"/>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64"/>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65"/>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66"/>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67"/>
        <c:spPr>
          <a:solidFill>
            <a:schemeClr val="accent3"/>
          </a:solidFill>
          <a:ln>
            <a:noFill/>
          </a:ln>
          <a:effectLst/>
        </c:spPr>
      </c:pivotFmt>
      <c:pivotFmt>
        <c:idx val="6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9"/>
        <c:spPr>
          <a:solidFill>
            <a:schemeClr val="accent1"/>
          </a:solidFill>
          <a:ln>
            <a:noFill/>
          </a:ln>
          <a:effectLst/>
        </c:spPr>
      </c:pivotFmt>
      <c:pivotFmt>
        <c:idx val="70"/>
        <c:spPr>
          <a:solidFill>
            <a:schemeClr val="accent1"/>
          </a:solidFill>
          <a:ln>
            <a:noFill/>
          </a:ln>
          <a:effectLst/>
        </c:spPr>
      </c:pivotFmt>
      <c:pivotFmt>
        <c:idx val="71"/>
        <c:spPr>
          <a:solidFill>
            <a:schemeClr val="accent1"/>
          </a:solidFill>
          <a:ln>
            <a:noFill/>
          </a:ln>
          <a:effectLst/>
        </c:spPr>
      </c:pivotFmt>
      <c:pivotFmt>
        <c:idx val="72"/>
        <c:spPr>
          <a:solidFill>
            <a:schemeClr val="accent1"/>
          </a:solidFill>
          <a:ln>
            <a:noFill/>
          </a:ln>
          <a:effectLst/>
        </c:spPr>
      </c:pivotFmt>
      <c:pivotFmt>
        <c:idx val="73"/>
        <c:spPr>
          <a:solidFill>
            <a:schemeClr val="accent1"/>
          </a:solidFill>
          <a:ln>
            <a:noFill/>
          </a:ln>
          <a:effectLst/>
        </c:spPr>
      </c:pivotFmt>
      <c:pivotFmt>
        <c:idx val="74"/>
        <c:spPr>
          <a:solidFill>
            <a:schemeClr val="accent1"/>
          </a:solidFill>
          <a:ln>
            <a:noFill/>
          </a:ln>
          <a:effectLst/>
        </c:spPr>
      </c:pivotFmt>
      <c:pivotFmt>
        <c:idx val="75"/>
        <c:spPr>
          <a:solidFill>
            <a:schemeClr val="accent1"/>
          </a:solidFill>
          <a:ln>
            <a:noFill/>
          </a:ln>
          <a:effectLst/>
        </c:spPr>
      </c:pivotFmt>
      <c:pivotFmt>
        <c:idx val="76"/>
        <c:spPr>
          <a:solidFill>
            <a:schemeClr val="accent1"/>
          </a:solidFill>
          <a:ln>
            <a:noFill/>
          </a:ln>
          <a:effectLst/>
        </c:spPr>
      </c:pivotFmt>
      <c:pivotFmt>
        <c:idx val="77"/>
        <c:spPr>
          <a:solidFill>
            <a:srgbClr val="41431B"/>
          </a:solidFill>
          <a:ln>
            <a:solidFill>
              <a:srgbClr val="41431B"/>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8"/>
        <c:spPr>
          <a:solidFill>
            <a:srgbClr val="41431B"/>
          </a:solidFill>
          <a:ln>
            <a:solidFill>
              <a:srgbClr val="41431B"/>
            </a:solidFill>
          </a:ln>
          <a:effectLst/>
        </c:spPr>
      </c:pivotFmt>
      <c:pivotFmt>
        <c:idx val="79"/>
        <c:spPr>
          <a:solidFill>
            <a:srgbClr val="41431B"/>
          </a:solidFill>
          <a:ln>
            <a:solidFill>
              <a:srgbClr val="41431B"/>
            </a:solidFill>
          </a:ln>
          <a:effectLst/>
        </c:spPr>
      </c:pivotFmt>
      <c:pivotFmt>
        <c:idx val="80"/>
        <c:spPr>
          <a:solidFill>
            <a:srgbClr val="41431B"/>
          </a:solidFill>
          <a:ln>
            <a:solidFill>
              <a:srgbClr val="41431B"/>
            </a:solidFill>
          </a:ln>
          <a:effectLst/>
        </c:spPr>
      </c:pivotFmt>
      <c:pivotFmt>
        <c:idx val="81"/>
        <c:spPr>
          <a:solidFill>
            <a:srgbClr val="41431B"/>
          </a:solidFill>
          <a:ln>
            <a:solidFill>
              <a:srgbClr val="41431B"/>
            </a:solidFill>
          </a:ln>
          <a:effectLst/>
        </c:spPr>
      </c:pivotFmt>
      <c:pivotFmt>
        <c:idx val="82"/>
        <c:spPr>
          <a:solidFill>
            <a:srgbClr val="41431B"/>
          </a:solidFill>
          <a:ln>
            <a:solidFill>
              <a:srgbClr val="41431B"/>
            </a:solidFill>
          </a:ln>
          <a:effectLst/>
        </c:spPr>
      </c:pivotFmt>
      <c:pivotFmt>
        <c:idx val="83"/>
        <c:spPr>
          <a:solidFill>
            <a:srgbClr val="41431B"/>
          </a:solidFill>
          <a:ln>
            <a:solidFill>
              <a:srgbClr val="41431B"/>
            </a:solidFill>
          </a:ln>
          <a:effectLst/>
        </c:spPr>
      </c:pivotFmt>
      <c:pivotFmt>
        <c:idx val="84"/>
        <c:spPr>
          <a:solidFill>
            <a:srgbClr val="41431B"/>
          </a:solidFill>
          <a:ln>
            <a:solidFill>
              <a:srgbClr val="41431B"/>
            </a:solidFill>
          </a:ln>
          <a:effectLst/>
        </c:spPr>
      </c:pivotFmt>
      <c:pivotFmt>
        <c:idx val="85"/>
        <c:spPr>
          <a:solidFill>
            <a:srgbClr val="41431B"/>
          </a:solidFill>
          <a:ln>
            <a:solidFill>
              <a:srgbClr val="41431B"/>
            </a:solidFill>
          </a:ln>
          <a:effectLst/>
        </c:spPr>
      </c:pivotFmt>
    </c:pivotFmts>
    <c:plotArea>
      <c:layout/>
      <c:barChart>
        <c:barDir val="col"/>
        <c:grouping val="clustered"/>
        <c:varyColors val="0"/>
        <c:ser>
          <c:idx val="0"/>
          <c:order val="0"/>
          <c:tx>
            <c:strRef>
              <c:f>PivotTable1!$R$11</c:f>
              <c:strCache>
                <c:ptCount val="1"/>
                <c:pt idx="0">
                  <c:v>Total</c:v>
                </c:pt>
              </c:strCache>
            </c:strRef>
          </c:tx>
          <c:spPr>
            <a:solidFill>
              <a:srgbClr val="41431B"/>
            </a:solidFill>
            <a:ln>
              <a:solidFill>
                <a:srgbClr val="41431B"/>
              </a:solidFill>
            </a:ln>
            <a:effectLst/>
          </c:spPr>
          <c:invertIfNegative val="0"/>
          <c:dPt>
            <c:idx val="0"/>
            <c:invertIfNegative val="0"/>
            <c:bubble3D val="0"/>
            <c:spPr>
              <a:solidFill>
                <a:srgbClr val="41431B"/>
              </a:solidFill>
              <a:ln>
                <a:solidFill>
                  <a:srgbClr val="41431B"/>
                </a:solidFill>
              </a:ln>
              <a:effectLst/>
            </c:spPr>
          </c:dPt>
          <c:dPt>
            <c:idx val="1"/>
            <c:invertIfNegative val="0"/>
            <c:bubble3D val="0"/>
            <c:spPr>
              <a:solidFill>
                <a:srgbClr val="41431B"/>
              </a:solidFill>
              <a:ln>
                <a:solidFill>
                  <a:srgbClr val="41431B"/>
                </a:solidFill>
              </a:ln>
              <a:effectLst/>
            </c:spPr>
          </c:dPt>
          <c:dPt>
            <c:idx val="2"/>
            <c:invertIfNegative val="0"/>
            <c:bubble3D val="0"/>
            <c:spPr>
              <a:solidFill>
                <a:srgbClr val="41431B"/>
              </a:solidFill>
              <a:ln>
                <a:solidFill>
                  <a:srgbClr val="41431B"/>
                </a:solidFill>
              </a:ln>
              <a:effectLst/>
            </c:spPr>
          </c:dPt>
          <c:dPt>
            <c:idx val="3"/>
            <c:invertIfNegative val="0"/>
            <c:bubble3D val="0"/>
            <c:spPr>
              <a:solidFill>
                <a:srgbClr val="41431B"/>
              </a:solidFill>
              <a:ln>
                <a:solidFill>
                  <a:srgbClr val="41431B"/>
                </a:solidFill>
              </a:ln>
              <a:effectLst/>
            </c:spPr>
          </c:dPt>
          <c:dPt>
            <c:idx val="4"/>
            <c:invertIfNegative val="0"/>
            <c:bubble3D val="0"/>
            <c:spPr>
              <a:solidFill>
                <a:srgbClr val="41431B"/>
              </a:solidFill>
              <a:ln>
                <a:solidFill>
                  <a:srgbClr val="41431B"/>
                </a:solidFill>
              </a:ln>
              <a:effectLst/>
            </c:spPr>
          </c:dPt>
          <c:dPt>
            <c:idx val="5"/>
            <c:invertIfNegative val="0"/>
            <c:bubble3D val="0"/>
            <c:spPr>
              <a:solidFill>
                <a:srgbClr val="41431B"/>
              </a:solidFill>
              <a:ln>
                <a:solidFill>
                  <a:srgbClr val="41431B"/>
                </a:solidFill>
              </a:ln>
              <a:effectLst/>
            </c:spPr>
          </c:dPt>
          <c:dPt>
            <c:idx val="6"/>
            <c:invertIfNegative val="0"/>
            <c:bubble3D val="0"/>
            <c:spPr>
              <a:solidFill>
                <a:srgbClr val="41431B"/>
              </a:solidFill>
              <a:ln>
                <a:solidFill>
                  <a:srgbClr val="41431B"/>
                </a:solidFill>
              </a:ln>
              <a:effectLst/>
            </c:spPr>
          </c:dPt>
          <c:dPt>
            <c:idx val="7"/>
            <c:invertIfNegative val="0"/>
            <c:bubble3D val="0"/>
            <c:spPr>
              <a:solidFill>
                <a:srgbClr val="41431B"/>
              </a:solidFill>
              <a:ln>
                <a:solidFill>
                  <a:srgbClr val="41431B"/>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PivotTable1!$Q$12:$Q$20</c:f>
              <c:strCache>
                <c:ptCount val="8"/>
                <c:pt idx="0">
                  <c:v>Beverages</c:v>
                </c:pt>
                <c:pt idx="1">
                  <c:v>Condiments</c:v>
                </c:pt>
                <c:pt idx="2">
                  <c:v>Confections</c:v>
                </c:pt>
                <c:pt idx="3">
                  <c:v>Dairy Products</c:v>
                </c:pt>
                <c:pt idx="4">
                  <c:v>Grains/Cereals</c:v>
                </c:pt>
                <c:pt idx="5">
                  <c:v>Meat/Poultry</c:v>
                </c:pt>
                <c:pt idx="6">
                  <c:v>Produce</c:v>
                </c:pt>
                <c:pt idx="7">
                  <c:v>Seafood</c:v>
                </c:pt>
              </c:strCache>
            </c:strRef>
          </c:cat>
          <c:val>
            <c:numRef>
              <c:f>PivotTable1!$R$12:$R$20</c:f>
              <c:numCache>
                <c:formatCode>\$#,##0.00;\(\$#,##0.00\);\$#,##0.00</c:formatCode>
                <c:ptCount val="8"/>
                <c:pt idx="0">
                  <c:v>19167.5</c:v>
                </c:pt>
                <c:pt idx="1">
                  <c:v>7643.85</c:v>
                </c:pt>
                <c:pt idx="2">
                  <c:v>22869.1</c:v>
                </c:pt>
                <c:pt idx="3">
                  <c:v>23589.9</c:v>
                </c:pt>
                <c:pt idx="4">
                  <c:v>3111.75</c:v>
                </c:pt>
                <c:pt idx="5">
                  <c:v>14154.05</c:v>
                </c:pt>
                <c:pt idx="6">
                  <c:v>8319.85</c:v>
                </c:pt>
                <c:pt idx="7">
                  <c:v>13502.29</c:v>
                </c:pt>
              </c:numCache>
            </c:numRef>
          </c:val>
          <c:extLst>
            <c:ext xmlns:c16="http://schemas.microsoft.com/office/drawing/2014/chart" uri="{C3380CC4-5D6E-409C-BE32-E72D297353CC}">
              <c16:uniqueId val="{00000015-28D0-43F2-9E61-5D19CC2D7703}"/>
            </c:ext>
          </c:extLst>
        </c:ser>
        <c:dLbls>
          <c:showLegendKey val="0"/>
          <c:showVal val="0"/>
          <c:showCatName val="0"/>
          <c:showSerName val="0"/>
          <c:showPercent val="0"/>
          <c:showBubbleSize val="0"/>
        </c:dLbls>
        <c:gapWidth val="100"/>
        <c:axId val="2093396207"/>
        <c:axId val="2093398607"/>
      </c:barChart>
      <c:valAx>
        <c:axId val="2093398607"/>
        <c:scaling>
          <c:orientation val="minMax"/>
        </c:scaling>
        <c:delete val="0"/>
        <c:axPos val="l"/>
        <c:numFmt formatCode="\$#,##0.00;\(\$#,##0.00\);\$#,##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3396207"/>
        <c:crossBetween val="between"/>
      </c:valAx>
      <c:catAx>
        <c:axId val="209339620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3398607"/>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[pivot.xlsx]PivotTable1!PivotTable4</c:name>
    <c:fmtId val="13"/>
  </c:pivotSource>
  <c:chart>
    <c:title>
      <c:tx>
        <c:rich>
          <a:bodyPr rot="0" spcFirstLastPara="1" vertOverflow="ellipsis" vert="horz" wrap="square" anchor="ctr" anchorCtr="1"/>
          <a:lstStyle/>
          <a:p>
            <a:pPr>
              <a:defRPr lang="en-US" sz="1400" b="0" i="0" u="none" strike="noStrike" kern="1200" spc="0" baseline="0">
                <a:solidFill>
                  <a:sysClr val="windowText" lastClr="000000">
                    <a:lumMod val="65000"/>
                    <a:lumOff val="35000"/>
                  </a:sysClr>
                </a:solidFill>
                <a:latin typeface="+mn-lt"/>
                <a:ea typeface="+mn-ea"/>
                <a:cs typeface="+mn-cs"/>
              </a:defRPr>
            </a:pPr>
            <a:r>
              <a:rPr lang="en-US" sz="1400" b="0" i="0" u="none" strike="noStrike" kern="1200" spc="0" baseline="0">
                <a:solidFill>
                  <a:sysClr val="windowText" lastClr="000000">
                    <a:lumMod val="65000"/>
                    <a:lumOff val="35000"/>
                  </a:sysClr>
                </a:solidFill>
                <a:latin typeface="+mn-lt"/>
                <a:ea typeface="+mn-ea"/>
                <a:cs typeface="+mn-cs"/>
              </a:rPr>
              <a:t>Sales By PriceSegment</a:t>
            </a:r>
          </a:p>
        </c:rich>
      </c:tx>
      <c:layout>
        <c:manualLayout>
          <c:xMode val="edge"/>
          <c:yMode val="edge"/>
          <c:x val="0.3304851766946853"/>
          <c:y val="4.1666666666666664E-2"/>
        </c:manualLayout>
      </c:layout>
      <c:overlay val="0"/>
      <c:spPr>
        <a:noFill/>
        <a:ln>
          <a:noFill/>
        </a:ln>
        <a:effectLst/>
      </c:spPr>
      <c:txPr>
        <a:bodyPr rot="0" spcFirstLastPara="1" vertOverflow="ellipsis" vert="horz" wrap="square" anchor="ctr" anchorCtr="1"/>
        <a:lstStyle/>
        <a:p>
          <a:pPr>
            <a:defRPr lang="en-US"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AEB784"/>
          </a:solidFill>
          <a:ln>
            <a:solidFill>
              <a:srgbClr val="41431B"/>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6A7E3F"/>
          </a:solidFill>
          <a:ln>
            <a:solidFill>
              <a:srgbClr val="41431B"/>
            </a:solidFill>
          </a:ln>
          <a:effectLst/>
        </c:spPr>
        <c:dLbl>
          <c:idx val="0"/>
          <c:layout>
            <c:manualLayout>
              <c:x val="0.12437136674548882"/>
              <c:y val="0.1249999999999998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41431B"/>
          </a:solidFill>
          <a:ln>
            <a:solidFill>
              <a:srgbClr val="41431B"/>
            </a:solidFill>
          </a:ln>
          <a:effectLst/>
        </c:spPr>
        <c:dLbl>
          <c:idx val="0"/>
          <c:layout>
            <c:manualLayout>
              <c:x val="0.10882494590230272"/>
              <c:y val="-1.388888888888897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AEB784"/>
          </a:solidFill>
          <a:ln>
            <a:solidFill>
              <a:srgbClr val="41431B"/>
            </a:solidFill>
          </a:ln>
          <a:effectLst/>
        </c:spPr>
        <c:dLbl>
          <c:idx val="0"/>
          <c:layout>
            <c:manualLayout>
              <c:x val="-0.14880145664192418"/>
              <c:y val="-9.2592592592593021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PivotTable1!$W$10</c:f>
              <c:strCache>
                <c:ptCount val="1"/>
                <c:pt idx="0">
                  <c:v>Total</c:v>
                </c:pt>
              </c:strCache>
            </c:strRef>
          </c:tx>
          <c:spPr>
            <a:solidFill>
              <a:srgbClr val="AEB784"/>
            </a:solidFill>
            <a:ln>
              <a:solidFill>
                <a:srgbClr val="41431B"/>
              </a:solidFill>
            </a:ln>
          </c:spPr>
          <c:dPt>
            <c:idx val="0"/>
            <c:bubble3D val="0"/>
            <c:spPr>
              <a:solidFill>
                <a:srgbClr val="41431B"/>
              </a:solidFill>
              <a:ln>
                <a:solidFill>
                  <a:srgbClr val="41431B"/>
                </a:solidFill>
              </a:ln>
              <a:effectLst/>
            </c:spPr>
          </c:dPt>
          <c:dPt>
            <c:idx val="1"/>
            <c:bubble3D val="0"/>
            <c:spPr>
              <a:solidFill>
                <a:srgbClr val="6A7E3F"/>
              </a:solidFill>
              <a:ln>
                <a:solidFill>
                  <a:srgbClr val="41431B"/>
                </a:solidFill>
              </a:ln>
              <a:effectLst/>
            </c:spPr>
          </c:dPt>
          <c:dPt>
            <c:idx val="2"/>
            <c:bubble3D val="0"/>
            <c:spPr>
              <a:solidFill>
                <a:srgbClr val="AEB784"/>
              </a:solidFill>
              <a:ln>
                <a:solidFill>
                  <a:srgbClr val="41431B"/>
                </a:solidFill>
              </a:ln>
              <a:effectLst/>
            </c:spPr>
          </c:dPt>
          <c:dLbls>
            <c:dLbl>
              <c:idx val="0"/>
              <c:layout>
                <c:manualLayout>
                  <c:x val="0.10882494590230272"/>
                  <c:y val="-1.3888888888888973E-2"/>
                </c:manualLayout>
              </c:layout>
              <c:showLegendKey val="0"/>
              <c:showVal val="1"/>
              <c:showCatName val="0"/>
              <c:showSerName val="0"/>
              <c:showPercent val="0"/>
              <c:showBubbleSize val="0"/>
              <c:extLst>
                <c:ext xmlns:c15="http://schemas.microsoft.com/office/drawing/2012/chart" uri="{CE6537A1-D6FC-4f65-9D91-7224C49458BB}"/>
              </c:extLst>
            </c:dLbl>
            <c:dLbl>
              <c:idx val="1"/>
              <c:layout>
                <c:manualLayout>
                  <c:x val="0.12437136674548882"/>
                  <c:y val="0.12499999999999983"/>
                </c:manualLayout>
              </c:layout>
              <c:showLegendKey val="0"/>
              <c:showVal val="1"/>
              <c:showCatName val="0"/>
              <c:showSerName val="0"/>
              <c:showPercent val="0"/>
              <c:showBubbleSize val="0"/>
              <c:extLst>
                <c:ext xmlns:c15="http://schemas.microsoft.com/office/drawing/2012/chart" uri="{CE6537A1-D6FC-4f65-9D91-7224C49458BB}"/>
              </c:extLst>
            </c:dLbl>
            <c:dLbl>
              <c:idx val="2"/>
              <c:layout>
                <c:manualLayout>
                  <c:x val="-0.14880145664192418"/>
                  <c:y val="-9.2592592592593021E-3"/>
                </c:manualLayout>
              </c:layout>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PivotTable1!$V$11:$V$14</c:f>
              <c:strCache>
                <c:ptCount val="3"/>
                <c:pt idx="0">
                  <c:v>Economy</c:v>
                </c:pt>
                <c:pt idx="1">
                  <c:v>Premium</c:v>
                </c:pt>
                <c:pt idx="2">
                  <c:v>Standard</c:v>
                </c:pt>
              </c:strCache>
            </c:strRef>
          </c:cat>
          <c:val>
            <c:numRef>
              <c:f>PivotTable1!$W$11:$W$14</c:f>
              <c:numCache>
                <c:formatCode>\$#,##0.00;\(\$#,##0.00\);\$#,##0.00</c:formatCode>
                <c:ptCount val="3"/>
                <c:pt idx="0">
                  <c:v>35545.35</c:v>
                </c:pt>
                <c:pt idx="1">
                  <c:v>48201.9</c:v>
                </c:pt>
                <c:pt idx="2">
                  <c:v>28611.040000000001</c:v>
                </c:pt>
              </c:numCache>
            </c:numRef>
          </c:val>
          <c:extLst>
            <c:ext xmlns:c16="http://schemas.microsoft.com/office/drawing/2014/chart" uri="{C3380CC4-5D6E-409C-BE32-E72D297353CC}">
              <c16:uniqueId val="{00000007-B905-4320-A97E-0020120E3342}"/>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[pivot.xlsx]PivotTable1!PivotTable2</c:name>
    <c:fmtId val="11"/>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0" i="0" u="none" strike="noStrike" kern="1200" spc="0" baseline="0">
                <a:solidFill>
                  <a:sysClr val="windowText" lastClr="000000">
                    <a:lumMod val="65000"/>
                    <a:lumOff val="35000"/>
                  </a:sysClr>
                </a:solidFill>
              </a:rPr>
              <a:t>Sales By Country</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US"/>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6A7E3F"/>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535443217282418"/>
          <c:y val="0.24157407407407408"/>
          <c:w val="0.87821578279434365"/>
          <c:h val="0.54478419364246133"/>
        </c:manualLayout>
      </c:layout>
      <c:lineChart>
        <c:grouping val="standard"/>
        <c:varyColors val="0"/>
        <c:ser>
          <c:idx val="0"/>
          <c:order val="0"/>
          <c:tx>
            <c:strRef>
              <c:f>PivotTable1!$I$4</c:f>
              <c:strCache>
                <c:ptCount val="1"/>
                <c:pt idx="0">
                  <c:v>Total</c:v>
                </c:pt>
              </c:strCache>
            </c:strRef>
          </c:tx>
          <c:spPr>
            <a:ln w="28575" cap="rnd">
              <a:solidFill>
                <a:srgbClr val="6A7E3F"/>
              </a:solidFill>
              <a:round/>
            </a:ln>
            <a:effectLst/>
          </c:spPr>
          <c:marker>
            <c:symbol val="none"/>
          </c:marker>
          <c:cat>
            <c:strRef>
              <c:f>PivotTable1!$H$5:$H$20</c:f>
              <c:strCache>
                <c:ptCount val="15"/>
                <c:pt idx="0">
                  <c:v>Austria</c:v>
                </c:pt>
                <c:pt idx="1">
                  <c:v>Belgium</c:v>
                </c:pt>
                <c:pt idx="2">
                  <c:v>Brazil</c:v>
                </c:pt>
                <c:pt idx="3">
                  <c:v>Finland</c:v>
                </c:pt>
                <c:pt idx="4">
                  <c:v>France</c:v>
                </c:pt>
                <c:pt idx="5">
                  <c:v>Germany</c:v>
                </c:pt>
                <c:pt idx="6">
                  <c:v>Ireland</c:v>
                </c:pt>
                <c:pt idx="7">
                  <c:v>Italy</c:v>
                </c:pt>
                <c:pt idx="8">
                  <c:v>Mexico</c:v>
                </c:pt>
                <c:pt idx="9">
                  <c:v>Spain</c:v>
                </c:pt>
                <c:pt idx="10">
                  <c:v>Sweden</c:v>
                </c:pt>
                <c:pt idx="11">
                  <c:v>Switzerland</c:v>
                </c:pt>
                <c:pt idx="12">
                  <c:v>UK</c:v>
                </c:pt>
                <c:pt idx="13">
                  <c:v>USA</c:v>
                </c:pt>
                <c:pt idx="14">
                  <c:v>Venezuela</c:v>
                </c:pt>
              </c:strCache>
            </c:strRef>
          </c:cat>
          <c:val>
            <c:numRef>
              <c:f>PivotTable1!$I$5:$I$20</c:f>
              <c:numCache>
                <c:formatCode>\$#,##0.00;\(\$#,##0.00\);\$#,##0.00</c:formatCode>
                <c:ptCount val="15"/>
                <c:pt idx="0">
                  <c:v>5616.15</c:v>
                </c:pt>
                <c:pt idx="1">
                  <c:v>8051.3</c:v>
                </c:pt>
                <c:pt idx="2">
                  <c:v>14233.15</c:v>
                </c:pt>
                <c:pt idx="3">
                  <c:v>3387</c:v>
                </c:pt>
                <c:pt idx="4">
                  <c:v>4826.1000000000004</c:v>
                </c:pt>
                <c:pt idx="5">
                  <c:v>21521.25</c:v>
                </c:pt>
                <c:pt idx="6">
                  <c:v>6112</c:v>
                </c:pt>
                <c:pt idx="7">
                  <c:v>1256</c:v>
                </c:pt>
                <c:pt idx="8">
                  <c:v>4646.3999999999996</c:v>
                </c:pt>
                <c:pt idx="9">
                  <c:v>2481.69</c:v>
                </c:pt>
                <c:pt idx="10">
                  <c:v>3535.15</c:v>
                </c:pt>
                <c:pt idx="11">
                  <c:v>3897.25</c:v>
                </c:pt>
                <c:pt idx="12">
                  <c:v>1726.25</c:v>
                </c:pt>
                <c:pt idx="13">
                  <c:v>25205.5</c:v>
                </c:pt>
                <c:pt idx="14">
                  <c:v>5863.1</c:v>
                </c:pt>
              </c:numCache>
            </c:numRef>
          </c:val>
          <c:smooth val="0"/>
          <c:extLst>
            <c:ext xmlns:c16="http://schemas.microsoft.com/office/drawing/2014/chart" uri="{C3380CC4-5D6E-409C-BE32-E72D297353CC}">
              <c16:uniqueId val="{00000004-D4E3-4446-ACEB-2E21C6771D84}"/>
            </c:ext>
          </c:extLst>
        </c:ser>
        <c:dLbls>
          <c:showLegendKey val="0"/>
          <c:showVal val="0"/>
          <c:showCatName val="0"/>
          <c:showSerName val="0"/>
          <c:showPercent val="0"/>
          <c:showBubbleSize val="0"/>
        </c:dLbls>
        <c:smooth val="0"/>
        <c:axId val="80067503"/>
        <c:axId val="80067983"/>
      </c:lineChart>
      <c:catAx>
        <c:axId val="8006750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067983"/>
        <c:crosses val="autoZero"/>
        <c:auto val="1"/>
        <c:lblAlgn val="ctr"/>
        <c:lblOffset val="100"/>
        <c:noMultiLvlLbl val="0"/>
      </c:catAx>
      <c:valAx>
        <c:axId val="80067983"/>
        <c:scaling>
          <c:orientation val="minMax"/>
        </c:scaling>
        <c:delete val="0"/>
        <c:axPos val="l"/>
        <c:numFmt formatCode="\$#,##0.00;\(\$#,##0.00\);\$#,##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067503"/>
        <c:crosses val="autoZero"/>
        <c:crossBetween val="between"/>
      </c:valAx>
      <c:dTable>
        <c:showHorzBorder val="1"/>
        <c:showVertBorder val="1"/>
        <c:showOutline val="1"/>
        <c:showKeys val="1"/>
        <c:spPr>
          <a:solidFill>
            <a:srgbClr val="F3E3D0"/>
          </a:solidFill>
          <a:ln w="9525" cap="flat" cmpd="sng" algn="ctr">
            <a:no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38101</xdr:colOff>
      <xdr:row>0</xdr:row>
      <xdr:rowOff>119062</xdr:rowOff>
    </xdr:from>
    <xdr:to>
      <xdr:col>5</xdr:col>
      <xdr:colOff>542925</xdr:colOff>
      <xdr:row>14</xdr:row>
      <xdr:rowOff>95250</xdr:rowOff>
    </xdr:to>
    <xdr:graphicFrame macro="">
      <xdr:nvGraphicFramePr>
        <xdr:cNvPr id="4" name="Chart 3">
          <a:extLst>
            <a:ext uri="{FF2B5EF4-FFF2-40B4-BE49-F238E27FC236}">
              <a16:creationId xmlns:a16="http://schemas.microsoft.com/office/drawing/2014/main" id="{ED5A8882-6543-EC41-B330-8D58E57988E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57149</xdr:colOff>
      <xdr:row>17</xdr:row>
      <xdr:rowOff>23812</xdr:rowOff>
    </xdr:from>
    <xdr:to>
      <xdr:col>20</xdr:col>
      <xdr:colOff>828675</xdr:colOff>
      <xdr:row>31</xdr:row>
      <xdr:rowOff>100012</xdr:rowOff>
    </xdr:to>
    <xdr:graphicFrame macro="">
      <xdr:nvGraphicFramePr>
        <xdr:cNvPr id="6" name="Chart 5">
          <a:extLst>
            <a:ext uri="{FF2B5EF4-FFF2-40B4-BE49-F238E27FC236}">
              <a16:creationId xmlns:a16="http://schemas.microsoft.com/office/drawing/2014/main" id="{63782386-38EB-BD98-EAA9-88CAF97AC8C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20</xdr:col>
      <xdr:colOff>733425</xdr:colOff>
      <xdr:row>2</xdr:row>
      <xdr:rowOff>9525</xdr:rowOff>
    </xdr:from>
    <xdr:to>
      <xdr:col>25</xdr:col>
      <xdr:colOff>666750</xdr:colOff>
      <xdr:row>16</xdr:row>
      <xdr:rowOff>85725</xdr:rowOff>
    </xdr:to>
    <xdr:graphicFrame macro="">
      <xdr:nvGraphicFramePr>
        <xdr:cNvPr id="7" name="Chart 6">
          <a:extLst>
            <a:ext uri="{FF2B5EF4-FFF2-40B4-BE49-F238E27FC236}">
              <a16:creationId xmlns:a16="http://schemas.microsoft.com/office/drawing/2014/main" id="{517DA6A5-7349-6506-DFBB-09A5C16DE3D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76199</xdr:colOff>
      <xdr:row>0</xdr:row>
      <xdr:rowOff>0</xdr:rowOff>
    </xdr:from>
    <xdr:to>
      <xdr:col>17</xdr:col>
      <xdr:colOff>190501</xdr:colOff>
      <xdr:row>14</xdr:row>
      <xdr:rowOff>76200</xdr:rowOff>
    </xdr:to>
    <xdr:graphicFrame macro="">
      <xdr:nvGraphicFramePr>
        <xdr:cNvPr id="8" name="Chart 7">
          <a:extLst>
            <a:ext uri="{FF2B5EF4-FFF2-40B4-BE49-F238E27FC236}">
              <a16:creationId xmlns:a16="http://schemas.microsoft.com/office/drawing/2014/main" id="{F0C10D49-3DBC-F5D4-3600-48D0B6F767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390526</xdr:colOff>
      <xdr:row>0</xdr:row>
      <xdr:rowOff>47625</xdr:rowOff>
    </xdr:from>
    <xdr:to>
      <xdr:col>24</xdr:col>
      <xdr:colOff>47626</xdr:colOff>
      <xdr:row>37</xdr:row>
      <xdr:rowOff>57150</xdr:rowOff>
    </xdr:to>
    <xdr:sp macro="" textlink="">
      <xdr:nvSpPr>
        <xdr:cNvPr id="12" name="Rectangle: Rounded Corners 11">
          <a:extLst>
            <a:ext uri="{FF2B5EF4-FFF2-40B4-BE49-F238E27FC236}">
              <a16:creationId xmlns:a16="http://schemas.microsoft.com/office/drawing/2014/main" id="{6B5175EB-951F-BF1C-75B3-A7DDB6846BFD}"/>
            </a:ext>
          </a:extLst>
        </xdr:cNvPr>
        <xdr:cNvSpPr/>
      </xdr:nvSpPr>
      <xdr:spPr>
        <a:xfrm>
          <a:off x="2219326" y="47625"/>
          <a:ext cx="12458700" cy="7058025"/>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14951</xdr:colOff>
      <xdr:row>3</xdr:row>
      <xdr:rowOff>47625</xdr:rowOff>
    </xdr:from>
    <xdr:to>
      <xdr:col>11</xdr:col>
      <xdr:colOff>285750</xdr:colOff>
      <xdr:row>18</xdr:row>
      <xdr:rowOff>57149</xdr:rowOff>
    </xdr:to>
    <xdr:graphicFrame macro="">
      <xdr:nvGraphicFramePr>
        <xdr:cNvPr id="13" name="Chart 12">
          <a:extLst>
            <a:ext uri="{FF2B5EF4-FFF2-40B4-BE49-F238E27FC236}">
              <a16:creationId xmlns:a16="http://schemas.microsoft.com/office/drawing/2014/main" id="{6C6FBDC3-8EB4-45B4-8320-B954CEE02E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28575</xdr:colOff>
      <xdr:row>19</xdr:row>
      <xdr:rowOff>152400</xdr:rowOff>
    </xdr:from>
    <xdr:to>
      <xdr:col>14</xdr:col>
      <xdr:colOff>66675</xdr:colOff>
      <xdr:row>34</xdr:row>
      <xdr:rowOff>38100</xdr:rowOff>
    </xdr:to>
    <xdr:graphicFrame macro="">
      <xdr:nvGraphicFramePr>
        <xdr:cNvPr id="15" name="Chart 14">
          <a:extLst>
            <a:ext uri="{FF2B5EF4-FFF2-40B4-BE49-F238E27FC236}">
              <a16:creationId xmlns:a16="http://schemas.microsoft.com/office/drawing/2014/main" id="{83D77AA0-F001-4A68-B4EE-70ADA4C445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263341</xdr:colOff>
      <xdr:row>19</xdr:row>
      <xdr:rowOff>109538</xdr:rowOff>
    </xdr:from>
    <xdr:to>
      <xdr:col>25</xdr:col>
      <xdr:colOff>200024</xdr:colOff>
      <xdr:row>33</xdr:row>
      <xdr:rowOff>185738</xdr:rowOff>
    </xdr:to>
    <xdr:graphicFrame macro="">
      <xdr:nvGraphicFramePr>
        <xdr:cNvPr id="16" name="Chart 15">
          <a:extLst>
            <a:ext uri="{FF2B5EF4-FFF2-40B4-BE49-F238E27FC236}">
              <a16:creationId xmlns:a16="http://schemas.microsoft.com/office/drawing/2014/main" id="{21F6A607-A952-446A-9E15-1F68B3CFCF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476250</xdr:colOff>
      <xdr:row>3</xdr:row>
      <xdr:rowOff>38100</xdr:rowOff>
    </xdr:from>
    <xdr:to>
      <xdr:col>26</xdr:col>
      <xdr:colOff>142878</xdr:colOff>
      <xdr:row>17</xdr:row>
      <xdr:rowOff>76200</xdr:rowOff>
    </xdr:to>
    <xdr:graphicFrame macro="">
      <xdr:nvGraphicFramePr>
        <xdr:cNvPr id="18" name="Chart 17">
          <a:extLst>
            <a:ext uri="{FF2B5EF4-FFF2-40B4-BE49-F238E27FC236}">
              <a16:creationId xmlns:a16="http://schemas.microsoft.com/office/drawing/2014/main" id="{4EF396BA-2F3B-4934-9E67-ABF9F3EB89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9525</xdr:colOff>
      <xdr:row>12</xdr:row>
      <xdr:rowOff>114300</xdr:rowOff>
    </xdr:from>
    <xdr:to>
      <xdr:col>3</xdr:col>
      <xdr:colOff>9525</xdr:colOff>
      <xdr:row>21</xdr:row>
      <xdr:rowOff>161925</xdr:rowOff>
    </xdr:to>
    <mc:AlternateContent xmlns:mc="http://schemas.openxmlformats.org/markup-compatibility/2006">
      <mc:Choice xmlns:a14="http://schemas.microsoft.com/office/drawing/2010/main" Requires="a14">
        <xdr:graphicFrame macro="">
          <xdr:nvGraphicFramePr>
            <xdr:cNvPr id="20" name="CategoryName">
              <a:extLst>
                <a:ext uri="{FF2B5EF4-FFF2-40B4-BE49-F238E27FC236}">
                  <a16:creationId xmlns:a16="http://schemas.microsoft.com/office/drawing/2014/main" id="{472552B3-92C1-6AD9-5244-B77D02572A8F}"/>
                </a:ext>
              </a:extLst>
            </xdr:cNvPr>
            <xdr:cNvGraphicFramePr/>
          </xdr:nvGraphicFramePr>
          <xdr:xfrm>
            <a:off x="0" y="0"/>
            <a:ext cx="0" cy="0"/>
          </xdr:xfrm>
          <a:graphic>
            <a:graphicData uri="http://schemas.microsoft.com/office/drawing/2010/slicer">
              <sle:slicer xmlns:sle="http://schemas.microsoft.com/office/drawing/2010/slicer" name="CategoryName"/>
            </a:graphicData>
          </a:graphic>
        </xdr:graphicFrame>
      </mc:Choice>
      <mc:Fallback>
        <xdr:sp macro="" textlink="">
          <xdr:nvSpPr>
            <xdr:cNvPr id="0" name=""/>
            <xdr:cNvSpPr>
              <a:spLocks noTextEdit="1"/>
            </xdr:cNvSpPr>
          </xdr:nvSpPr>
          <xdr:spPr>
            <a:xfrm>
              <a:off x="9525" y="4686300"/>
              <a:ext cx="1821656" cy="1762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9525</xdr:colOff>
      <xdr:row>3</xdr:row>
      <xdr:rowOff>47625</xdr:rowOff>
    </xdr:from>
    <xdr:to>
      <xdr:col>3</xdr:col>
      <xdr:colOff>9525</xdr:colOff>
      <xdr:row>6</xdr:row>
      <xdr:rowOff>114300</xdr:rowOff>
    </xdr:to>
    <mc:AlternateContent xmlns:mc="http://schemas.openxmlformats.org/markup-compatibility/2006">
      <mc:Choice xmlns:a14="http://schemas.microsoft.com/office/drawing/2010/main" Requires="a14">
        <xdr:graphicFrame macro="">
          <xdr:nvGraphicFramePr>
            <xdr:cNvPr id="23" name="Year">
              <a:extLst>
                <a:ext uri="{FF2B5EF4-FFF2-40B4-BE49-F238E27FC236}">
                  <a16:creationId xmlns:a16="http://schemas.microsoft.com/office/drawing/2014/main" id="{D0B6D12B-37AA-BFD8-C46B-B6BCDA9C9B85}"/>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9525" y="2905125"/>
              <a:ext cx="1821656" cy="6381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6</xdr:row>
      <xdr:rowOff>114300</xdr:rowOff>
    </xdr:from>
    <xdr:to>
      <xdr:col>3</xdr:col>
      <xdr:colOff>0</xdr:colOff>
      <xdr:row>12</xdr:row>
      <xdr:rowOff>142875</xdr:rowOff>
    </xdr:to>
    <mc:AlternateContent xmlns:mc="http://schemas.openxmlformats.org/markup-compatibility/2006">
      <mc:Choice xmlns:a14="http://schemas.microsoft.com/office/drawing/2010/main" Requires="a14">
        <xdr:graphicFrame macro="">
          <xdr:nvGraphicFramePr>
            <xdr:cNvPr id="24" name="Month">
              <a:extLst>
                <a:ext uri="{FF2B5EF4-FFF2-40B4-BE49-F238E27FC236}">
                  <a16:creationId xmlns:a16="http://schemas.microsoft.com/office/drawing/2014/main" id="{9EA3F8AF-19FE-96BF-58AB-455CB2CB4428}"/>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0" y="3543300"/>
              <a:ext cx="1821656" cy="11715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21</xdr:row>
      <xdr:rowOff>142875</xdr:rowOff>
    </xdr:from>
    <xdr:to>
      <xdr:col>3</xdr:col>
      <xdr:colOff>0</xdr:colOff>
      <xdr:row>28</xdr:row>
      <xdr:rowOff>19050</xdr:rowOff>
    </xdr:to>
    <mc:AlternateContent xmlns:mc="http://schemas.openxmlformats.org/markup-compatibility/2006">
      <mc:Choice xmlns:a14="http://schemas.microsoft.com/office/drawing/2010/main" Requires="a14">
        <xdr:graphicFrame macro="">
          <xdr:nvGraphicFramePr>
            <xdr:cNvPr id="26" name="PriceSegment">
              <a:extLst>
                <a:ext uri="{FF2B5EF4-FFF2-40B4-BE49-F238E27FC236}">
                  <a16:creationId xmlns:a16="http://schemas.microsoft.com/office/drawing/2014/main" id="{C143A500-BD5E-2BBB-0114-A086119CD844}"/>
                </a:ext>
              </a:extLst>
            </xdr:cNvPr>
            <xdr:cNvGraphicFramePr/>
          </xdr:nvGraphicFramePr>
          <xdr:xfrm>
            <a:off x="0" y="0"/>
            <a:ext cx="0" cy="0"/>
          </xdr:xfrm>
          <a:graphic>
            <a:graphicData uri="http://schemas.microsoft.com/office/drawing/2010/slicer">
              <sle:slicer xmlns:sle="http://schemas.microsoft.com/office/drawing/2010/slicer" name="PriceSegment"/>
            </a:graphicData>
          </a:graphic>
        </xdr:graphicFrame>
      </mc:Choice>
      <mc:Fallback>
        <xdr:sp macro="" textlink="">
          <xdr:nvSpPr>
            <xdr:cNvPr id="0" name=""/>
            <xdr:cNvSpPr>
              <a:spLocks noTextEdit="1"/>
            </xdr:cNvSpPr>
          </xdr:nvSpPr>
          <xdr:spPr>
            <a:xfrm>
              <a:off x="0" y="6429375"/>
              <a:ext cx="1821656" cy="12096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27</xdr:row>
      <xdr:rowOff>171450</xdr:rowOff>
    </xdr:from>
    <xdr:to>
      <xdr:col>3</xdr:col>
      <xdr:colOff>0</xdr:colOff>
      <xdr:row>34</xdr:row>
      <xdr:rowOff>19050</xdr:rowOff>
    </xdr:to>
    <mc:AlternateContent xmlns:mc="http://schemas.openxmlformats.org/markup-compatibility/2006">
      <mc:Choice xmlns:a14="http://schemas.microsoft.com/office/drawing/2010/main" Requires="a14">
        <xdr:graphicFrame macro="">
          <xdr:nvGraphicFramePr>
            <xdr:cNvPr id="27" name="Country">
              <a:extLst>
                <a:ext uri="{FF2B5EF4-FFF2-40B4-BE49-F238E27FC236}">
                  <a16:creationId xmlns:a16="http://schemas.microsoft.com/office/drawing/2014/main" id="{3A10453F-FB2F-F0B9-ECC8-058A464674E2}"/>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0" y="7600950"/>
              <a:ext cx="1821656" cy="11811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342900</xdr:colOff>
      <xdr:row>2</xdr:row>
      <xdr:rowOff>142875</xdr:rowOff>
    </xdr:from>
    <xdr:to>
      <xdr:col>5</xdr:col>
      <xdr:colOff>142875</xdr:colOff>
      <xdr:row>2</xdr:row>
      <xdr:rowOff>1438275</xdr:rowOff>
    </xdr:to>
    <xdr:sp macro="" textlink="PivotTable2!D10">
      <xdr:nvSpPr>
        <xdr:cNvPr id="31" name="Rectangle: Rounded Corners 30">
          <a:extLst>
            <a:ext uri="{FF2B5EF4-FFF2-40B4-BE49-F238E27FC236}">
              <a16:creationId xmlns:a16="http://schemas.microsoft.com/office/drawing/2014/main" id="{4E5C8A65-B180-FAE7-5294-DD3E7D2B32B6}"/>
            </a:ext>
          </a:extLst>
        </xdr:cNvPr>
        <xdr:cNvSpPr/>
      </xdr:nvSpPr>
      <xdr:spPr>
        <a:xfrm>
          <a:off x="342900" y="1304142"/>
          <a:ext cx="2866242" cy="1295400"/>
        </a:xfrm>
        <a:prstGeom prst="roundRect">
          <a:avLst/>
        </a:prstGeom>
        <a:solidFill>
          <a:srgbClr val="AEB784"/>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5F666520-E87C-4ACC-8EFA-68CFF192D970}" type="TxLink">
            <a:rPr lang="en-US" sz="3600" b="0" i="0" u="none" strike="noStrike">
              <a:solidFill>
                <a:srgbClr val="000000"/>
              </a:solidFill>
              <a:latin typeface="Aptos Narrow"/>
            </a:rPr>
            <a:t>$112,358.29</a:t>
          </a:fld>
          <a:endParaRPr lang="en-US" sz="3600">
            <a:solidFill>
              <a:srgbClr val="41431B"/>
            </a:solidFill>
          </a:endParaRPr>
        </a:p>
      </xdr:txBody>
    </xdr:sp>
    <xdr:clientData/>
  </xdr:twoCellAnchor>
  <xdr:twoCellAnchor>
    <xdr:from>
      <xdr:col>6</xdr:col>
      <xdr:colOff>533399</xdr:colOff>
      <xdr:row>2</xdr:row>
      <xdr:rowOff>116779</xdr:rowOff>
    </xdr:from>
    <xdr:to>
      <xdr:col>11</xdr:col>
      <xdr:colOff>533400</xdr:colOff>
      <xdr:row>2</xdr:row>
      <xdr:rowOff>1469329</xdr:rowOff>
    </xdr:to>
    <xdr:sp macro="" textlink="PivotTable2!E10">
      <xdr:nvSpPr>
        <xdr:cNvPr id="32" name="Rectangle: Rounded Corners 31">
          <a:extLst>
            <a:ext uri="{FF2B5EF4-FFF2-40B4-BE49-F238E27FC236}">
              <a16:creationId xmlns:a16="http://schemas.microsoft.com/office/drawing/2014/main" id="{20B1AEDD-6FC3-6C39-7C4F-4E16E61272D4}"/>
            </a:ext>
          </a:extLst>
        </xdr:cNvPr>
        <xdr:cNvSpPr/>
      </xdr:nvSpPr>
      <xdr:spPr>
        <a:xfrm>
          <a:off x="4212920" y="1278046"/>
          <a:ext cx="3066268" cy="1352550"/>
        </a:xfrm>
        <a:prstGeom prst="roundRect">
          <a:avLst/>
        </a:prstGeom>
        <a:solidFill>
          <a:srgbClr val="AEB784"/>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B1D00D6B-B5A0-4170-B9E4-642479D6F677}" type="TxLink">
            <a:rPr lang="en-US" sz="3600" b="0" i="0" u="none" strike="noStrike">
              <a:solidFill>
                <a:srgbClr val="000000"/>
              </a:solidFill>
              <a:latin typeface="Aptos Narrow"/>
            </a:rPr>
            <a:t>$2,046,725</a:t>
          </a:fld>
          <a:endParaRPr lang="en-US" sz="3600">
            <a:solidFill>
              <a:srgbClr val="41431B"/>
            </a:solidFill>
          </a:endParaRPr>
        </a:p>
      </xdr:txBody>
    </xdr:sp>
    <xdr:clientData/>
  </xdr:twoCellAnchor>
  <xdr:twoCellAnchor>
    <xdr:from>
      <xdr:col>13</xdr:col>
      <xdr:colOff>428624</xdr:colOff>
      <xdr:row>2</xdr:row>
      <xdr:rowOff>104775</xdr:rowOff>
    </xdr:from>
    <xdr:to>
      <xdr:col>18</xdr:col>
      <xdr:colOff>400049</xdr:colOff>
      <xdr:row>2</xdr:row>
      <xdr:rowOff>1514475</xdr:rowOff>
    </xdr:to>
    <xdr:sp macro="" textlink="PivotTable2!F10">
      <xdr:nvSpPr>
        <xdr:cNvPr id="33" name="Rectangle: Rounded Corners 32">
          <a:extLst>
            <a:ext uri="{FF2B5EF4-FFF2-40B4-BE49-F238E27FC236}">
              <a16:creationId xmlns:a16="http://schemas.microsoft.com/office/drawing/2014/main" id="{C1C47A3B-D926-11DE-D364-0A37022F2221}"/>
            </a:ext>
          </a:extLst>
        </xdr:cNvPr>
        <xdr:cNvSpPr/>
      </xdr:nvSpPr>
      <xdr:spPr>
        <a:xfrm>
          <a:off x="8353424" y="1266825"/>
          <a:ext cx="3019425" cy="1409700"/>
        </a:xfrm>
        <a:prstGeom prst="roundRect">
          <a:avLst/>
        </a:prstGeom>
        <a:solidFill>
          <a:srgbClr val="AEB784"/>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15370B67-9618-4EA3-A1EC-65B47E80C722}" type="TxLink">
            <a:rPr lang="en-US" sz="3600" b="0" i="0" u="none" strike="noStrike">
              <a:solidFill>
                <a:srgbClr val="000000"/>
              </a:solidFill>
              <a:latin typeface="Aptos Narrow"/>
            </a:rPr>
            <a:t>$4,200.00</a:t>
          </a:fld>
          <a:endParaRPr lang="en-US" sz="3600">
            <a:solidFill>
              <a:srgbClr val="41431B"/>
            </a:solidFill>
          </a:endParaRPr>
        </a:p>
      </xdr:txBody>
    </xdr:sp>
    <xdr:clientData/>
  </xdr:twoCellAnchor>
  <xdr:twoCellAnchor>
    <xdr:from>
      <xdr:col>20</xdr:col>
      <xdr:colOff>504825</xdr:colOff>
      <xdr:row>2</xdr:row>
      <xdr:rowOff>104775</xdr:rowOff>
    </xdr:from>
    <xdr:to>
      <xdr:col>25</xdr:col>
      <xdr:colOff>390525</xdr:colOff>
      <xdr:row>2</xdr:row>
      <xdr:rowOff>1457325</xdr:rowOff>
    </xdr:to>
    <xdr:sp macro="" textlink="PivotTable2!G10">
      <xdr:nvSpPr>
        <xdr:cNvPr id="34" name="Rectangle: Rounded Corners 33">
          <a:extLst>
            <a:ext uri="{FF2B5EF4-FFF2-40B4-BE49-F238E27FC236}">
              <a16:creationId xmlns:a16="http://schemas.microsoft.com/office/drawing/2014/main" id="{F20F8052-AF6D-2244-B87C-69409E4655E0}"/>
            </a:ext>
          </a:extLst>
        </xdr:cNvPr>
        <xdr:cNvSpPr/>
      </xdr:nvSpPr>
      <xdr:spPr>
        <a:xfrm>
          <a:off x="12696825" y="1266825"/>
          <a:ext cx="2933700" cy="1352550"/>
        </a:xfrm>
        <a:prstGeom prst="roundRect">
          <a:avLst/>
        </a:prstGeom>
        <a:solidFill>
          <a:srgbClr val="AEB784"/>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333D571C-8832-480C-8B0D-FC6B58C74A70}" type="TxLink">
            <a:rPr lang="en-US" sz="3600" b="0" i="0" u="none" strike="noStrike">
              <a:solidFill>
                <a:srgbClr val="000000"/>
              </a:solidFill>
              <a:latin typeface="Aptos Narrow"/>
            </a:rPr>
            <a:t>$1,459</a:t>
          </a:fld>
          <a:endParaRPr lang="en-US" sz="3600">
            <a:solidFill>
              <a:srgbClr val="41431B"/>
            </a:solidFill>
          </a:endParaRPr>
        </a:p>
      </xdr:txBody>
    </xdr:sp>
    <xdr:clientData/>
  </xdr:twoCellAnchor>
  <xdr:twoCellAnchor>
    <xdr:from>
      <xdr:col>0</xdr:col>
      <xdr:colOff>322806</xdr:colOff>
      <xdr:row>2</xdr:row>
      <xdr:rowOff>799577</xdr:rowOff>
    </xdr:from>
    <xdr:to>
      <xdr:col>5</xdr:col>
      <xdr:colOff>130480</xdr:colOff>
      <xdr:row>2</xdr:row>
      <xdr:rowOff>1265651</xdr:rowOff>
    </xdr:to>
    <xdr:sp macro="" textlink="">
      <xdr:nvSpPr>
        <xdr:cNvPr id="36" name="Rectangle: Rounded Corners 35">
          <a:extLst>
            <a:ext uri="{FF2B5EF4-FFF2-40B4-BE49-F238E27FC236}">
              <a16:creationId xmlns:a16="http://schemas.microsoft.com/office/drawing/2014/main" id="{85BADD92-A02F-A874-463B-D3002BF48E15}"/>
            </a:ext>
          </a:extLst>
        </xdr:cNvPr>
        <xdr:cNvSpPr/>
      </xdr:nvSpPr>
      <xdr:spPr>
        <a:xfrm>
          <a:off x="322806" y="1960844"/>
          <a:ext cx="2873941" cy="466074"/>
        </a:xfrm>
        <a:prstGeom prst="roundRect">
          <a:avLst/>
        </a:prstGeom>
        <a:solidFill>
          <a:srgbClr val="41431B"/>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r>
            <a:rPr lang="en-US" sz="2400">
              <a:solidFill>
                <a:srgbClr val="AEB784"/>
              </a:solidFill>
            </a:rPr>
            <a:t>TOTAL</a:t>
          </a:r>
          <a:r>
            <a:rPr lang="en-US" sz="1100">
              <a:solidFill>
                <a:srgbClr val="AEB784"/>
              </a:solidFill>
            </a:rPr>
            <a:t> </a:t>
          </a:r>
          <a:r>
            <a:rPr lang="en-US" sz="2400">
              <a:solidFill>
                <a:srgbClr val="AEB784"/>
              </a:solidFill>
            </a:rPr>
            <a:t>SALES</a:t>
          </a:r>
        </a:p>
      </xdr:txBody>
    </xdr:sp>
    <xdr:clientData/>
  </xdr:twoCellAnchor>
  <xdr:twoCellAnchor>
    <xdr:from>
      <xdr:col>6</xdr:col>
      <xdr:colOff>555973</xdr:colOff>
      <xdr:row>2</xdr:row>
      <xdr:rowOff>835199</xdr:rowOff>
    </xdr:from>
    <xdr:to>
      <xdr:col>11</xdr:col>
      <xdr:colOff>546448</xdr:colOff>
      <xdr:row>2</xdr:row>
      <xdr:rowOff>1356986</xdr:rowOff>
    </xdr:to>
    <xdr:sp macro="" textlink="">
      <xdr:nvSpPr>
        <xdr:cNvPr id="38" name="Rectangle: Rounded Corners 37">
          <a:extLst>
            <a:ext uri="{FF2B5EF4-FFF2-40B4-BE49-F238E27FC236}">
              <a16:creationId xmlns:a16="http://schemas.microsoft.com/office/drawing/2014/main" id="{B26753D1-B575-0EA3-9CEC-1CDEA1504DEB}"/>
            </a:ext>
          </a:extLst>
        </xdr:cNvPr>
        <xdr:cNvSpPr/>
      </xdr:nvSpPr>
      <xdr:spPr>
        <a:xfrm>
          <a:off x="4235494" y="1996466"/>
          <a:ext cx="3056742" cy="521787"/>
        </a:xfrm>
        <a:prstGeom prst="roundRect">
          <a:avLst/>
        </a:prstGeom>
        <a:solidFill>
          <a:srgbClr val="41431B"/>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r>
            <a:rPr lang="en-US" sz="2400">
              <a:solidFill>
                <a:srgbClr val="AEB784"/>
              </a:solidFill>
            </a:rPr>
            <a:t>TOTAL</a:t>
          </a:r>
          <a:r>
            <a:rPr lang="en-US" sz="2400"/>
            <a:t> </a:t>
          </a:r>
          <a:r>
            <a:rPr lang="en-US" sz="2400">
              <a:solidFill>
                <a:srgbClr val="AEB784"/>
              </a:solidFill>
            </a:rPr>
            <a:t>ORDER</a:t>
          </a:r>
        </a:p>
      </xdr:txBody>
    </xdr:sp>
    <xdr:clientData/>
  </xdr:twoCellAnchor>
  <xdr:twoCellAnchor>
    <xdr:from>
      <xdr:col>13</xdr:col>
      <xdr:colOff>434627</xdr:colOff>
      <xdr:row>2</xdr:row>
      <xdr:rowOff>820716</xdr:rowOff>
    </xdr:from>
    <xdr:to>
      <xdr:col>18</xdr:col>
      <xdr:colOff>404486</xdr:colOff>
      <xdr:row>2</xdr:row>
      <xdr:rowOff>1330890</xdr:rowOff>
    </xdr:to>
    <xdr:sp macro="" textlink="">
      <xdr:nvSpPr>
        <xdr:cNvPr id="39" name="Rectangle: Rounded Corners 38">
          <a:extLst>
            <a:ext uri="{FF2B5EF4-FFF2-40B4-BE49-F238E27FC236}">
              <a16:creationId xmlns:a16="http://schemas.microsoft.com/office/drawing/2014/main" id="{A046BFBC-2935-F4EE-1F40-C0D5E9F35B88}"/>
            </a:ext>
          </a:extLst>
        </xdr:cNvPr>
        <xdr:cNvSpPr/>
      </xdr:nvSpPr>
      <xdr:spPr>
        <a:xfrm>
          <a:off x="8406922" y="1981983"/>
          <a:ext cx="3036126" cy="510174"/>
        </a:xfrm>
        <a:prstGeom prst="roundRect">
          <a:avLst/>
        </a:prstGeom>
        <a:solidFill>
          <a:srgbClr val="41431B"/>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rgbClr val="AEB784"/>
              </a:solidFill>
            </a:rPr>
            <a:t>           </a:t>
          </a:r>
          <a:r>
            <a:rPr lang="en-US" sz="2400">
              <a:solidFill>
                <a:srgbClr val="AEB784"/>
              </a:solidFill>
            </a:rPr>
            <a:t>TOTAL</a:t>
          </a:r>
          <a:r>
            <a:rPr lang="en-US" sz="2400" baseline="0">
              <a:solidFill>
                <a:srgbClr val="AEB784"/>
              </a:solidFill>
            </a:rPr>
            <a:t> QUANTITY</a:t>
          </a:r>
          <a:endParaRPr lang="en-US" sz="2400">
            <a:solidFill>
              <a:srgbClr val="AEB784"/>
            </a:solidFill>
          </a:endParaRPr>
        </a:p>
      </xdr:txBody>
    </xdr:sp>
    <xdr:clientData/>
  </xdr:twoCellAnchor>
  <xdr:twoCellAnchor>
    <xdr:from>
      <xdr:col>20</xdr:col>
      <xdr:colOff>514350</xdr:colOff>
      <xdr:row>2</xdr:row>
      <xdr:rowOff>778048</xdr:rowOff>
    </xdr:from>
    <xdr:to>
      <xdr:col>25</xdr:col>
      <xdr:colOff>390525</xdr:colOff>
      <xdr:row>2</xdr:row>
      <xdr:rowOff>1304796</xdr:rowOff>
    </xdr:to>
    <xdr:sp macro="" textlink="">
      <xdr:nvSpPr>
        <xdr:cNvPr id="41" name="Rectangle: Rounded Corners 40">
          <a:extLst>
            <a:ext uri="{FF2B5EF4-FFF2-40B4-BE49-F238E27FC236}">
              <a16:creationId xmlns:a16="http://schemas.microsoft.com/office/drawing/2014/main" id="{066D0567-9D20-E936-C3E0-36C3A9DBF818}"/>
            </a:ext>
          </a:extLst>
        </xdr:cNvPr>
        <xdr:cNvSpPr/>
      </xdr:nvSpPr>
      <xdr:spPr>
        <a:xfrm>
          <a:off x="12779418" y="1939315"/>
          <a:ext cx="2942443" cy="526748"/>
        </a:xfrm>
        <a:prstGeom prst="roundRect">
          <a:avLst/>
        </a:prstGeom>
        <a:solidFill>
          <a:srgbClr val="41431B"/>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r>
            <a:rPr lang="en-US" sz="2400">
              <a:solidFill>
                <a:srgbClr val="AEB784"/>
              </a:solidFill>
              <a:effectLst/>
              <a:latin typeface="+mn-lt"/>
              <a:ea typeface="+mn-ea"/>
              <a:cs typeface="+mn-cs"/>
            </a:rPr>
            <a:t>Average</a:t>
          </a:r>
          <a:r>
            <a:rPr lang="en-US" sz="1100">
              <a:solidFill>
                <a:schemeClr val="lt1"/>
              </a:solidFill>
              <a:effectLst/>
              <a:latin typeface="+mn-lt"/>
              <a:ea typeface="+mn-ea"/>
              <a:cs typeface="+mn-cs"/>
            </a:rPr>
            <a:t> </a:t>
          </a:r>
          <a:r>
            <a:rPr lang="en-US" sz="2400">
              <a:solidFill>
                <a:srgbClr val="AEB784"/>
              </a:solidFill>
              <a:effectLst/>
              <a:latin typeface="+mn-lt"/>
              <a:ea typeface="+mn-ea"/>
              <a:cs typeface="+mn-cs"/>
            </a:rPr>
            <a:t>Order</a:t>
          </a:r>
          <a:r>
            <a:rPr lang="en-US" sz="1100">
              <a:solidFill>
                <a:schemeClr val="lt1"/>
              </a:solidFill>
              <a:effectLst/>
              <a:latin typeface="+mn-lt"/>
              <a:ea typeface="+mn-ea"/>
              <a:cs typeface="+mn-cs"/>
            </a:rPr>
            <a:t> </a:t>
          </a:r>
          <a:r>
            <a:rPr lang="en-US" sz="2400">
              <a:solidFill>
                <a:srgbClr val="AEB784"/>
              </a:solidFill>
              <a:effectLst/>
              <a:latin typeface="+mn-lt"/>
              <a:ea typeface="+mn-ea"/>
              <a:cs typeface="+mn-cs"/>
            </a:rPr>
            <a:t>Value</a:t>
          </a:r>
          <a:r>
            <a:rPr lang="en-US" sz="1100">
              <a:solidFill>
                <a:schemeClr val="lt1"/>
              </a:solidFill>
              <a:effectLst/>
              <a:latin typeface="+mn-lt"/>
              <a:ea typeface="+mn-ea"/>
              <a:cs typeface="+mn-cs"/>
            </a:rPr>
            <a:t> </a:t>
          </a:r>
          <a:endParaRPr lang="en-US" sz="1100"/>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00.224310185185" createdVersion="8" refreshedVersion="8" minRefreshableVersion="3" recordCount="0" supportSubquery="1" supportAdvancedDrill="1" xr:uid="{607F4D28-A9E9-47CD-8B2F-CF1F7C64C65E}">
  <cacheSource type="external" connectionId="9"/>
  <cacheFields count="2">
    <cacheField name="[Measures].[TotalSales]" caption="TotalSales" numFmtId="0" hierarchy="37" level="32767"/>
    <cacheField name="[TblCustomers].[Country].[Country]" caption="Country" numFmtId="0" hierarchy="5" level="1">
      <sharedItems count="15">
        <s v="Austria"/>
        <s v="Belgium"/>
        <s v="Brazil"/>
        <s v="Finland"/>
        <s v="France"/>
        <s v="Germany"/>
        <s v="Ireland"/>
        <s v="Italy"/>
        <s v="Mexico"/>
        <s v="Spain"/>
        <s v="Sweden"/>
        <s v="Switzerland"/>
        <s v="UK"/>
        <s v="USA"/>
        <s v="Venezuela"/>
      </sharedItems>
    </cacheField>
  </cacheFields>
  <cacheHierarchies count="52">
    <cacheHierarchy uniqueName="[Tblcategories].[CategoryID]" caption="CategoryID" attribute="1" defaultMemberUniqueName="[Tblcategories].[CategoryID].[All]" allUniqueName="[Tblcategories].[CategoryID].[All]" dimensionUniqueName="[Tblcategories]" displayFolder="" count="0" memberValueDatatype="20" unbalanced="0"/>
    <cacheHierarchy uniqueName="[Tblcategories].[CategoryName]" caption="CategoryName" attribute="1" defaultMemberUniqueName="[Tblcategories].[CategoryName].[All]" allUniqueName="[Tblcategories].[CategoryName].[All]" dimensionUniqueName="[Tblcategories]" displayFolder="" count="2" memberValueDatatype="130" unbalanced="0"/>
    <cacheHierarchy uniqueName="[TblCustomers].[CustomerID]" caption="CustomerID" attribute="1" defaultMemberUniqueName="[TblCustomers].[CustomerID].[All]" allUniqueName="[TblCustomers].[CustomerID].[All]" dimensionUniqueName="[TblCustomers]" displayFolder="" count="0" memberValueDatatype="20" unbalanced="0"/>
    <cacheHierarchy uniqueName="[TblCustomers].[CustomerName]" caption="CustomerName" attribute="1" defaultMemberUniqueName="[TblCustomers].[CustomerName].[All]" allUniqueName="[TblCustomers].[CustomerName].[All]" dimensionUniqueName="[TblCustomers]" displayFolder="" count="0" memberValueDatatype="130" unbalanced="0"/>
    <cacheHierarchy uniqueName="[TblCustomers].[City]" caption="City" attribute="1" defaultMemberUniqueName="[TblCustomers].[City].[All]" allUniqueName="[TblCustomers].[City].[All]" dimensionUniqueName="[TblCustomers]" displayFolder="" count="0" memberValueDatatype="130" unbalanced="0"/>
    <cacheHierarchy uniqueName="[TblCustomers].[Country]" caption="Country" attribute="1" defaultMemberUniqueName="[TblCustomers].[Country].[All]" allUniqueName="[TblCustomers].[Country].[All]" dimensionUniqueName="[TblCustomers]" displayFolder="" count="2" memberValueDatatype="130" unbalanced="0">
      <fieldsUsage count="2">
        <fieldUsage x="-1"/>
        <fieldUsage x="1"/>
      </fieldsUsage>
    </cacheHierarchy>
    <cacheHierarchy uniqueName="[Tblemployees].[EmployeeID]" caption="EmployeeID" attribute="1" defaultMemberUniqueName="[Tblemployees].[EmployeeID].[All]" allUniqueName="[Tblemployees].[EmployeeID].[All]" dimensionUniqueName="[Tblemployees]" displayFolder="" count="0" memberValueDatatype="20" unbalanced="0"/>
    <cacheHierarchy uniqueName="[Tblemployees].[EmployeeName]" caption="EmployeeName" attribute="1" defaultMemberUniqueName="[Tblemployees].[EmployeeName].[All]" allUniqueName="[Tblemployees].[EmployeeName].[All]" dimensionUniqueName="[Tblemployees]" displayFolder="" count="0" memberValueDatatype="130" unbalanced="0"/>
    <cacheHierarchy uniqueName="[Tblemployees].[BirthDate]" caption="BirthDate" attribute="1" time="1" defaultMemberUniqueName="[Tblemployees].[BirthDate].[All]" allUniqueName="[Tblemployees].[BirthDate].[All]" dimensionUniqueName="[Tblemployees]" displayFolder="" count="0" memberValueDatatype="7" unbalanced="0"/>
    <cacheHierarchy uniqueName="[TblOrders].[OrderID]" caption="OrderID" attribute="1" defaultMemberUniqueName="[TblOrders].[OrderID].[All]" allUniqueName="[TblOrders].[OrderID].[All]" dimensionUniqueName="[TblOrders]" displayFolder="" count="0" memberValueDatatype="20" unbalanced="0"/>
    <cacheHierarchy uniqueName="[TblOrders].[CustomerID]" caption="CustomerID" attribute="1" defaultMemberUniqueName="[TblOrders].[CustomerID].[All]" allUniqueName="[TblOrders].[CustomerID].[All]" dimensionUniqueName="[TblOrders]" displayFolder="" count="0" memberValueDatatype="20" unbalanced="0"/>
    <cacheHierarchy uniqueName="[TblOrders].[EmployeeID]" caption="EmployeeID" attribute="1" defaultMemberUniqueName="[TblOrders].[EmployeeID].[All]" allUniqueName="[TblOrders].[EmployeeID].[All]" dimensionUniqueName="[TblOrders]" displayFolder="" count="0" memberValueDatatype="20" unbalanced="0"/>
    <cacheHierarchy uniqueName="[TblOrders].[OrderDate]" caption="OrderDate" attribute="1" time="1" defaultMemberUniqueName="[TblOrders].[OrderDate].[All]" allUniqueName="[TblOrders].[OrderDate].[All]" dimensionUniqueName="[TblOrders]" displayFolder="" count="0" memberValueDatatype="7" unbalanced="0"/>
    <cacheHierarchy uniqueName="[TblOrders].[ShipperID]" caption="ShipperID" attribute="1" defaultMemberUniqueName="[TblOrders].[ShipperID].[All]" allUniqueName="[TblOrders].[ShipperID].[All]" dimensionUniqueName="[TblOrders]" displayFolder="" count="0" memberValueDatatype="20" unbalanced="0"/>
    <cacheHierarchy uniqueName="[TblOrders].[Year]" caption="Year" attribute="1" defaultMemberUniqueName="[TblOrders].[Year].[All]" allUniqueName="[TblOrders].[Year].[All]" dimensionUniqueName="[TblOrders]" displayFolder="" count="2" memberValueDatatype="20" unbalanced="0"/>
    <cacheHierarchy uniqueName="[TblOrders].[Month]" caption="Month" attribute="1" defaultMemberUniqueName="[TblOrders].[Month].[All]" allUniqueName="[TblOrders].[Month].[All]" dimensionUniqueName="[TblOrders]" displayFolder="" count="2" memberValueDatatype="20" unbalanced="0"/>
    <cacheHierarchy uniqueName="[TblOrders].[Month Name]" caption="Month Name" attribute="1" defaultMemberUniqueName="[TblOrders].[Month Name].[All]" allUniqueName="[TblOrders].[Month Name].[All]" dimensionUniqueName="[TblOrders]" displayFolder="" count="0" memberValueDatatype="130" unbalanced="0"/>
    <cacheHierarchy uniqueName="[TblOrders].[Quarter]" caption="Quarter" attribute="1" defaultMemberUniqueName="[TblOrders].[Quarter].[All]" allUniqueName="[TblOrders].[Quarter].[All]" dimensionUniqueName="[TblOrders]" displayFolder="" count="0" memberValueDatatype="20" unbalanced="0"/>
    <cacheHierarchy uniqueName="[TblOrdersdetails].[OrderDetailID]" caption="OrderDetailID" attribute="1" defaultMemberUniqueName="[TblOrdersdetails].[OrderDetailID].[All]" allUniqueName="[TblOrdersdetails].[OrderDetailID].[All]" dimensionUniqueName="[TblOrdersdetails]" displayFolder="" count="0" memberValueDatatype="20" unbalanced="0"/>
    <cacheHierarchy uniqueName="[TblOrdersdetails].[OrderID]" caption="OrderID" attribute="1" defaultMemberUniqueName="[TblOrdersdetails].[OrderID].[All]" allUniqueName="[TblOrdersdetails].[OrderID].[All]" dimensionUniqueName="[TblOrdersdetails]" displayFolder="" count="0" memberValueDatatype="20" unbalanced="0"/>
    <cacheHierarchy uniqueName="[TblOrdersdetails].[ProductID]" caption="ProductID" attribute="1" defaultMemberUniqueName="[TblOrdersdetails].[ProductID].[All]" allUniqueName="[TblOrdersdetails].[ProductID].[All]" dimensionUniqueName="[TblOrdersdetails]" displayFolder="" count="0" memberValueDatatype="20" unbalanced="0"/>
    <cacheHierarchy uniqueName="[TblOrdersdetails].[Quantity]" caption="Quantity" attribute="1" defaultMemberUniqueName="[TblOrdersdetails].[Quantity].[All]" allUniqueName="[TblOrdersdetails].[Quantity].[All]" dimensionUniqueName="[TblOrdersdetails]" displayFolder="" count="0" memberValueDatatype="20" unbalanced="0"/>
    <cacheHierarchy uniqueName="[TblOrdersdetails].[SalesAmount]" caption="SalesAmount" attribute="1" defaultMemberUniqueName="[TblOrdersdetails].[SalesAmount].[All]" allUniqueName="[TblOrdersdetails].[SalesAmount].[All]" dimensionUniqueName="[TblOrdersdetails]" displayFolder="" count="0" memberValueDatatype="6" unbalanced="0"/>
    <cacheHierarchy uniqueName="[Tblproducts].[ProductID]" caption="ProductID" attribute="1" defaultMemberUniqueName="[Tblproducts].[ProductID].[All]" allUniqueName="[Tblproducts].[ProductID].[All]" dimensionUniqueName="[Tblproducts]" displayFolder="" count="0" memberValueDatatype="20" unbalanced="0"/>
    <cacheHierarchy uniqueName="[Tblproducts].[ProductName]" caption="ProductName" attribute="1" defaultMemberUniqueName="[Tblproducts].[ProductName].[All]" allUniqueName="[Tblproducts].[ProductName].[All]" dimensionUniqueName="[Tblproducts]" displayFolder="" count="0" memberValueDatatype="130" unbalanced="0"/>
    <cacheHierarchy uniqueName="[Tblproducts].[SuppliersID]" caption="SuppliersID" attribute="1" defaultMemberUniqueName="[Tblproducts].[SuppliersID].[All]" allUniqueName="[Tblproducts].[SuppliersID].[All]" dimensionUniqueName="[Tblproducts]" displayFolder="" count="0" memberValueDatatype="20" unbalanced="0"/>
    <cacheHierarchy uniqueName="[Tblproducts].[CategoryID]" caption="CategoryID" attribute="1" defaultMemberUniqueName="[Tblproducts].[CategoryID].[All]" allUniqueName="[Tblproducts].[CategoryID].[All]" dimensionUniqueName="[Tblproducts]" displayFolder="" count="0" memberValueDatatype="20" unbalanced="0"/>
    <cacheHierarchy uniqueName="[Tblproducts].[Price]" caption="Price" attribute="1" defaultMemberUniqueName="[Tblproducts].[Price].[All]" allUniqueName="[Tblproducts].[Price].[All]" dimensionUniqueName="[Tblproducts]" displayFolder="" count="0" memberValueDatatype="6" unbalanced="0"/>
    <cacheHierarchy uniqueName="[Tblproducts].[PriceSegment]" caption="PriceSegment" attribute="1" defaultMemberUniqueName="[Tblproducts].[PriceSegment].[All]" allUniqueName="[Tblproducts].[PriceSegment].[All]" dimensionUniqueName="[Tblproducts]" displayFolder="" count="2" memberValueDatatype="130" unbalanced="0"/>
    <cacheHierarchy uniqueName="[Tblshippers].[ShipperID]" caption="ShipperID" attribute="1" defaultMemberUniqueName="[Tblshippers].[ShipperID].[All]" allUniqueName="[Tblshippers].[ShipperID].[All]" dimensionUniqueName="[Tblshippers]" displayFolder="" count="0" memberValueDatatype="20" unbalanced="0"/>
    <cacheHierarchy uniqueName="[Tblshippers].[ShipperName]" caption="ShipperName" attribute="1" defaultMemberUniqueName="[Tblshippers].[ShipperName].[All]" allUniqueName="[Tblshippers].[ShipperName].[All]" dimensionUniqueName="[Tblshippers]" displayFolder="" count="0" memberValueDatatype="130" unbalanced="0"/>
    <cacheHierarchy uniqueName="[Tblsuppliers].[SupplierID]" caption="SupplierID" attribute="1" defaultMemberUniqueName="[Tblsuppliers].[SupplierID].[All]" allUniqueName="[Tblsuppliers].[SupplierID].[All]" dimensionUniqueName="[Tblsuppliers]" displayFolder="" count="0" memberValueDatatype="20" unbalanced="0"/>
    <cacheHierarchy uniqueName="[Tblsuppliers].[SuppliersName]" caption="SuppliersName" attribute="1" defaultMemberUniqueName="[Tblsuppliers].[SuppliersName].[All]" allUniqueName="[Tblsuppliers].[SuppliersName].[All]" dimensionUniqueName="[Tblsuppliers]" displayFolder="" count="0" memberValueDatatype="130" unbalanced="0"/>
    <cacheHierarchy uniqueName="[Tblsuppliers].[City]" caption="City" attribute="1" defaultMemberUniqueName="[Tblsuppliers].[City].[All]" allUniqueName="[Tblsuppliers].[City].[All]" dimensionUniqueName="[Tblsuppliers]" displayFolder="" count="0" memberValueDatatype="130" unbalanced="0"/>
    <cacheHierarchy uniqueName="[Tblsuppliers].[Country]" caption="Country" attribute="1" defaultMemberUniqueName="[Tblsuppliers].[Country].[All]" allUniqueName="[Tblsuppliers].[Country].[All]" dimensionUniqueName="[Tblsuppliers]" displayFolder="" count="0" memberValueDatatype="130" unbalanced="0"/>
    <cacheHierarchy uniqueName="[Measures].[TotalQuantity]" caption="TotalQuantity" measure="1" displayFolder="" measureGroup="TblOrdersdetails" count="0"/>
    <cacheHierarchy uniqueName="[Measures].[TotalOrders]" caption="TotalOrders" measure="1" displayFolder="" measureGroup="TblOrdersdetails" count="0"/>
    <cacheHierarchy uniqueName="[Measures].[TotalSales]" caption="TotalSales" measure="1" displayFolder="" measureGroup="TblOrdersdetails" count="0" oneField="1">
      <fieldsUsage count="1">
        <fieldUsage x="0"/>
      </fieldsUsage>
    </cacheHierarchy>
    <cacheHierarchy uniqueName="[Measures].[AverageOrderValue]" caption="AverageOrderValue" measure="1" displayFolder="" measureGroup="TblOrdersdetails" count="0"/>
    <cacheHierarchy uniqueName="[Measures].[Average Quantity per Order]" caption="Average Quantity per Order" measure="1" displayFolder="" measureGroup="TblOrdersdetails" count="0"/>
    <cacheHierarchy uniqueName="[Measures].[TotalCustomers]" caption="TotalCustomers" measure="1" displayFolder="" measureGroup="TblOrdersdetails" count="0"/>
    <cacheHierarchy uniqueName="[Measures].[PurchaseFrequency]" caption="PurchaseFrequency" measure="1" displayFolder="" measureGroup="TblOrdersdetails" count="0"/>
    <cacheHierarchy uniqueName="[Measures].[__XL_Count Tblcategories]" caption="__XL_Count Tblcategories" measure="1" displayFolder="" measureGroup="Tblcategories" count="0" hidden="1"/>
    <cacheHierarchy uniqueName="[Measures].[__XL_Count TblCustomers]" caption="__XL_Count TblCustomers" measure="1" displayFolder="" measureGroup="TblCustomers" count="0" hidden="1"/>
    <cacheHierarchy uniqueName="[Measures].[__XL_Count Tblemployees]" caption="__XL_Count Tblemployees" measure="1" displayFolder="" measureGroup="Tblemployees" count="0" hidden="1"/>
    <cacheHierarchy uniqueName="[Measures].[__XL_Count TblOrders]" caption="__XL_Count TblOrders" measure="1" displayFolder="" measureGroup="TblOrders" count="0" hidden="1"/>
    <cacheHierarchy uniqueName="[Measures].[__XL_Count TblOrdersdetails]" caption="__XL_Count TblOrdersdetails" measure="1" displayFolder="" measureGroup="TblOrdersdetails" count="0" hidden="1"/>
    <cacheHierarchy uniqueName="[Measures].[__XL_Count Tblproducts]" caption="__XL_Count Tblproducts" measure="1" displayFolder="" measureGroup="Tblproducts" count="0" hidden="1"/>
    <cacheHierarchy uniqueName="[Measures].[__XL_Count Tblshippers]" caption="__XL_Count Tblshippers" measure="1" displayFolder="" measureGroup="Tblshippers" count="0" hidden="1"/>
    <cacheHierarchy uniqueName="[Measures].[__XL_Count Tblsuppliers]" caption="__XL_Count Tblsuppliers" measure="1" displayFolder="" measureGroup="Tblsuppliers" count="0" hidden="1"/>
    <cacheHierarchy uniqueName="[Measures].[__No measures defined]" caption="__No measures defined" measure="1" displayFolder="" count="0" hidden="1"/>
    <cacheHierarchy uniqueName="[Measures].[Sum of OrderID]" caption="Sum of OrderID" measure="1" displayFolder="" measureGroup="TblOrdersdetails" count="0" hidden="1">
      <extLst>
        <ext xmlns:x15="http://schemas.microsoft.com/office/spreadsheetml/2010/11/main" uri="{B97F6D7D-B522-45F9-BDA1-12C45D357490}">
          <x15:cacheHierarchy aggregatedColumn="19"/>
        </ext>
      </extLst>
    </cacheHierarchy>
  </cacheHierarchies>
  <kpis count="0"/>
  <dimensions count="9">
    <dimension measure="1" name="Measures" uniqueName="[Measures]" caption="Measures"/>
    <dimension name="Tblcategories" uniqueName="[Tblcategories]" caption="Tblcategories"/>
    <dimension name="TblCustomers" uniqueName="[TblCustomers]" caption="TblCustomers"/>
    <dimension name="Tblemployees" uniqueName="[Tblemployees]" caption="Tblemployees"/>
    <dimension name="TblOrders" uniqueName="[TblOrders]" caption="TblOrders"/>
    <dimension name="TblOrdersdetails" uniqueName="[TblOrdersdetails]" caption="TblOrdersdetails"/>
    <dimension name="Tblproducts" uniqueName="[Tblproducts]" caption="Tblproducts"/>
    <dimension name="Tblshippers" uniqueName="[Tblshippers]" caption="Tblshippers"/>
    <dimension name="Tblsuppliers" uniqueName="[Tblsuppliers]" caption="Tblsuppliers"/>
  </dimensions>
  <measureGroups count="8">
    <measureGroup name="Tblcategories" caption="Tblcategories"/>
    <measureGroup name="TblCustomers" caption="TblCustomers"/>
    <measureGroup name="Tblemployees" caption="Tblemployees"/>
    <measureGroup name="TblOrders" caption="TblOrders"/>
    <measureGroup name="TblOrdersdetails" caption="TblOrdersdetails"/>
    <measureGroup name="Tblproducts" caption="Tblproducts"/>
    <measureGroup name="Tblshippers" caption="Tblshippers"/>
    <measureGroup name="Tblsuppliers" caption="Tblsuppliers"/>
  </measureGroups>
  <maps count="20">
    <map measureGroup="0" dimension="1"/>
    <map measureGroup="1" dimension="2"/>
    <map measureGroup="2" dimension="3"/>
    <map measureGroup="3" dimension="2"/>
    <map measureGroup="3" dimension="3"/>
    <map measureGroup="3" dimension="4"/>
    <map measureGroup="3" dimension="7"/>
    <map measureGroup="4" dimension="1"/>
    <map measureGroup="4" dimension="2"/>
    <map measureGroup="4" dimension="3"/>
    <map measureGroup="4" dimension="4"/>
    <map measureGroup="4" dimension="5"/>
    <map measureGroup="4" dimension="6"/>
    <map measureGroup="4" dimension="7"/>
    <map measureGroup="4" dimension="8"/>
    <map measureGroup="5" dimension="1"/>
    <map measureGroup="5" dimension="6"/>
    <map measureGroup="5" dimension="8"/>
    <map measureGroup="6"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00.224311226855" createdVersion="5" refreshedVersion="8" minRefreshableVersion="3" recordCount="0" supportSubquery="1" supportAdvancedDrill="1" xr:uid="{B7220438-6871-4B89-B575-216EC4424B2C}">
  <cacheSource type="external" connectionId="9"/>
  <cacheFields count="4">
    <cacheField name="[TblOrders].[Month].[Month]" caption="Month" numFmtId="0" hierarchy="15" level="1">
      <sharedItems containsSemiMixedTypes="0" containsString="0" containsNumber="1" containsInteger="1" minValue="7" maxValue="10" count="4">
        <n v="7"/>
        <n v="8"/>
        <n v="9"/>
        <n v="10"/>
      </sharedItems>
      <extLst>
        <ext xmlns:x15="http://schemas.microsoft.com/office/spreadsheetml/2010/11/main" uri="{4F2E5C28-24EA-4eb8-9CBF-B6C8F9C3D259}">
          <x15:cachedUniqueNames>
            <x15:cachedUniqueName index="0" name="[TblOrders].[Month].&amp;[7]"/>
            <x15:cachedUniqueName index="1" name="[TblOrders].[Month].&amp;[8]"/>
            <x15:cachedUniqueName index="2" name="[TblOrders].[Month].&amp;[9]"/>
            <x15:cachedUniqueName index="3" name="[TblOrders].[Month].&amp;[10]"/>
          </x15:cachedUniqueNames>
        </ext>
      </extLst>
    </cacheField>
    <cacheField name="[Measures].[TotalSales]" caption="TotalSales" numFmtId="0" hierarchy="37" level="32767"/>
    <cacheField name="[TblOrders].[Year].[Year]" caption="Year" numFmtId="0" hierarchy="14" level="1">
      <sharedItems containsSemiMixedTypes="0" containsString="0" containsNumber="1" containsInteger="1" minValue="1996" maxValue="1996" count="1">
        <n v="1996"/>
      </sharedItems>
      <extLst>
        <ext xmlns:x15="http://schemas.microsoft.com/office/spreadsheetml/2010/11/main" uri="{4F2E5C28-24EA-4eb8-9CBF-B6C8F9C3D259}">
          <x15:cachedUniqueNames>
            <x15:cachedUniqueName index="0" name="[TblOrders].[Year].&amp;[1996]"/>
          </x15:cachedUniqueNames>
        </ext>
      </extLst>
    </cacheField>
    <cacheField name="[TblCustomers].[Country].[Country]" caption="Country" numFmtId="0" hierarchy="5" level="1">
      <sharedItems containsSemiMixedTypes="0" containsNonDate="0" containsString="0"/>
    </cacheField>
  </cacheFields>
  <cacheHierarchies count="52">
    <cacheHierarchy uniqueName="[Tblcategories].[CategoryID]" caption="CategoryID" attribute="1" defaultMemberUniqueName="[Tblcategories].[CategoryID].[All]" allUniqueName="[Tblcategories].[CategoryID].[All]" dimensionUniqueName="[Tblcategories]" displayFolder="" count="0" memberValueDatatype="20" unbalanced="0"/>
    <cacheHierarchy uniqueName="[Tblcategories].[CategoryName]" caption="CategoryName" attribute="1" defaultMemberUniqueName="[Tblcategories].[CategoryName].[All]" allUniqueName="[Tblcategories].[CategoryName].[All]" dimensionUniqueName="[Tblcategories]" displayFolder="" count="2" memberValueDatatype="130" unbalanced="0"/>
    <cacheHierarchy uniqueName="[TblCustomers].[CustomerID]" caption="CustomerID" attribute="1" defaultMemberUniqueName="[TblCustomers].[CustomerID].[All]" allUniqueName="[TblCustomers].[CustomerID].[All]" dimensionUniqueName="[TblCustomers]" displayFolder="" count="0" memberValueDatatype="20" unbalanced="0"/>
    <cacheHierarchy uniqueName="[TblCustomers].[CustomerName]" caption="CustomerName" attribute="1" defaultMemberUniqueName="[TblCustomers].[CustomerName].[All]" allUniqueName="[TblCustomers].[CustomerName].[All]" dimensionUniqueName="[TblCustomers]" displayFolder="" count="0" memberValueDatatype="130" unbalanced="0"/>
    <cacheHierarchy uniqueName="[TblCustomers].[City]" caption="City" attribute="1" defaultMemberUniqueName="[TblCustomers].[City].[All]" allUniqueName="[TblCustomers].[City].[All]" dimensionUniqueName="[TblCustomers]" displayFolder="" count="0" memberValueDatatype="130" unbalanced="0"/>
    <cacheHierarchy uniqueName="[TblCustomers].[Country]" caption="Country" attribute="1" defaultMemberUniqueName="[TblCustomers].[Country].[All]" allUniqueName="[TblCustomers].[Country].[All]" dimensionUniqueName="[TblCustomers]" displayFolder="" count="2" memberValueDatatype="130" unbalanced="0">
      <fieldsUsage count="2">
        <fieldUsage x="-1"/>
        <fieldUsage x="3"/>
      </fieldsUsage>
    </cacheHierarchy>
    <cacheHierarchy uniqueName="[Tblemployees].[EmployeeID]" caption="EmployeeID" attribute="1" defaultMemberUniqueName="[Tblemployees].[EmployeeID].[All]" allUniqueName="[Tblemployees].[EmployeeID].[All]" dimensionUniqueName="[Tblemployees]" displayFolder="" count="0" memberValueDatatype="20" unbalanced="0"/>
    <cacheHierarchy uniqueName="[Tblemployees].[EmployeeName]" caption="EmployeeName" attribute="1" defaultMemberUniqueName="[Tblemployees].[EmployeeName].[All]" allUniqueName="[Tblemployees].[EmployeeName].[All]" dimensionUniqueName="[Tblemployees]" displayFolder="" count="0" memberValueDatatype="130" unbalanced="0"/>
    <cacheHierarchy uniqueName="[Tblemployees].[BirthDate]" caption="BirthDate" attribute="1" time="1" defaultMemberUniqueName="[Tblemployees].[BirthDate].[All]" allUniqueName="[Tblemployees].[BirthDate].[All]" dimensionUniqueName="[Tblemployees]" displayFolder="" count="0" memberValueDatatype="7" unbalanced="0"/>
    <cacheHierarchy uniqueName="[TblOrders].[OrderID]" caption="OrderID" attribute="1" defaultMemberUniqueName="[TblOrders].[OrderID].[All]" allUniqueName="[TblOrders].[OrderID].[All]" dimensionUniqueName="[TblOrders]" displayFolder="" count="0" memberValueDatatype="20" unbalanced="0"/>
    <cacheHierarchy uniqueName="[TblOrders].[CustomerID]" caption="CustomerID" attribute="1" defaultMemberUniqueName="[TblOrders].[CustomerID].[All]" allUniqueName="[TblOrders].[CustomerID].[All]" dimensionUniqueName="[TblOrders]" displayFolder="" count="0" memberValueDatatype="20" unbalanced="0"/>
    <cacheHierarchy uniqueName="[TblOrders].[EmployeeID]" caption="EmployeeID" attribute="1" defaultMemberUniqueName="[TblOrders].[EmployeeID].[All]" allUniqueName="[TblOrders].[EmployeeID].[All]" dimensionUniqueName="[TblOrders]" displayFolder="" count="0" memberValueDatatype="20" unbalanced="0"/>
    <cacheHierarchy uniqueName="[TblOrders].[OrderDate]" caption="OrderDate" attribute="1" time="1" defaultMemberUniqueName="[TblOrders].[OrderDate].[All]" allUniqueName="[TblOrders].[OrderDate].[All]" dimensionUniqueName="[TblOrders]" displayFolder="" count="0" memberValueDatatype="7" unbalanced="0"/>
    <cacheHierarchy uniqueName="[TblOrders].[ShipperID]" caption="ShipperID" attribute="1" defaultMemberUniqueName="[TblOrders].[ShipperID].[All]" allUniqueName="[TblOrders].[ShipperID].[All]" dimensionUniqueName="[TblOrders]" displayFolder="" count="0" memberValueDatatype="20" unbalanced="0"/>
    <cacheHierarchy uniqueName="[TblOrders].[Year]" caption="Year" attribute="1" defaultMemberUniqueName="[TblOrders].[Year].[All]" allUniqueName="[TblOrders].[Year].[All]" dimensionUniqueName="[TblOrders]" displayFolder="" count="2" memberValueDatatype="20" unbalanced="0">
      <fieldsUsage count="2">
        <fieldUsage x="-1"/>
        <fieldUsage x="2"/>
      </fieldsUsage>
    </cacheHierarchy>
    <cacheHierarchy uniqueName="[TblOrders].[Month]" caption="Month" attribute="1" defaultMemberUniqueName="[TblOrders].[Month].[All]" allUniqueName="[TblOrders].[Month].[All]" dimensionUniqueName="[TblOrders]" displayFolder="" count="2" memberValueDatatype="20" unbalanced="0">
      <fieldsUsage count="2">
        <fieldUsage x="-1"/>
        <fieldUsage x="0"/>
      </fieldsUsage>
    </cacheHierarchy>
    <cacheHierarchy uniqueName="[TblOrders].[Month Name]" caption="Month Name" attribute="1" defaultMemberUniqueName="[TblOrders].[Month Name].[All]" allUniqueName="[TblOrders].[Month Name].[All]" dimensionUniqueName="[TblOrders]" displayFolder="" count="0" memberValueDatatype="130" unbalanced="0"/>
    <cacheHierarchy uniqueName="[TblOrders].[Quarter]" caption="Quarter" attribute="1" defaultMemberUniqueName="[TblOrders].[Quarter].[All]" allUniqueName="[TblOrders].[Quarter].[All]" dimensionUniqueName="[TblOrders]" displayFolder="" count="0" memberValueDatatype="20" unbalanced="0"/>
    <cacheHierarchy uniqueName="[TblOrdersdetails].[OrderDetailID]" caption="OrderDetailID" attribute="1" defaultMemberUniqueName="[TblOrdersdetails].[OrderDetailID].[All]" allUniqueName="[TblOrdersdetails].[OrderDetailID].[All]" dimensionUniqueName="[TblOrdersdetails]" displayFolder="" count="0" memberValueDatatype="20" unbalanced="0"/>
    <cacheHierarchy uniqueName="[TblOrdersdetails].[OrderID]" caption="OrderID" attribute="1" defaultMemberUniqueName="[TblOrdersdetails].[OrderID].[All]" allUniqueName="[TblOrdersdetails].[OrderID].[All]" dimensionUniqueName="[TblOrdersdetails]" displayFolder="" count="0" memberValueDatatype="20" unbalanced="0"/>
    <cacheHierarchy uniqueName="[TblOrdersdetails].[ProductID]" caption="ProductID" attribute="1" defaultMemberUniqueName="[TblOrdersdetails].[ProductID].[All]" allUniqueName="[TblOrdersdetails].[ProductID].[All]" dimensionUniqueName="[TblOrdersdetails]" displayFolder="" count="0" memberValueDatatype="20" unbalanced="0"/>
    <cacheHierarchy uniqueName="[TblOrdersdetails].[Quantity]" caption="Quantity" attribute="1" defaultMemberUniqueName="[TblOrdersdetails].[Quantity].[All]" allUniqueName="[TblOrdersdetails].[Quantity].[All]" dimensionUniqueName="[TblOrdersdetails]" displayFolder="" count="0" memberValueDatatype="20" unbalanced="0"/>
    <cacheHierarchy uniqueName="[TblOrdersdetails].[SalesAmount]" caption="SalesAmount" attribute="1" defaultMemberUniqueName="[TblOrdersdetails].[SalesAmount].[All]" allUniqueName="[TblOrdersdetails].[SalesAmount].[All]" dimensionUniqueName="[TblOrdersdetails]" displayFolder="" count="0" memberValueDatatype="6" unbalanced="0"/>
    <cacheHierarchy uniqueName="[Tblproducts].[ProductID]" caption="ProductID" attribute="1" defaultMemberUniqueName="[Tblproducts].[ProductID].[All]" allUniqueName="[Tblproducts].[ProductID].[All]" dimensionUniqueName="[Tblproducts]" displayFolder="" count="0" memberValueDatatype="20" unbalanced="0"/>
    <cacheHierarchy uniqueName="[Tblproducts].[ProductName]" caption="ProductName" attribute="1" defaultMemberUniqueName="[Tblproducts].[ProductName].[All]" allUniqueName="[Tblproducts].[ProductName].[All]" dimensionUniqueName="[Tblproducts]" displayFolder="" count="0" memberValueDatatype="130" unbalanced="0"/>
    <cacheHierarchy uniqueName="[Tblproducts].[SuppliersID]" caption="SuppliersID" attribute="1" defaultMemberUniqueName="[Tblproducts].[SuppliersID].[All]" allUniqueName="[Tblproducts].[SuppliersID].[All]" dimensionUniqueName="[Tblproducts]" displayFolder="" count="0" memberValueDatatype="20" unbalanced="0"/>
    <cacheHierarchy uniqueName="[Tblproducts].[CategoryID]" caption="CategoryID" attribute="1" defaultMemberUniqueName="[Tblproducts].[CategoryID].[All]" allUniqueName="[Tblproducts].[CategoryID].[All]" dimensionUniqueName="[Tblproducts]" displayFolder="" count="0" memberValueDatatype="20" unbalanced="0"/>
    <cacheHierarchy uniqueName="[Tblproducts].[Price]" caption="Price" attribute="1" defaultMemberUniqueName="[Tblproducts].[Price].[All]" allUniqueName="[Tblproducts].[Price].[All]" dimensionUniqueName="[Tblproducts]" displayFolder="" count="0" memberValueDatatype="6" unbalanced="0"/>
    <cacheHierarchy uniqueName="[Tblproducts].[PriceSegment]" caption="PriceSegment" attribute="1" defaultMemberUniqueName="[Tblproducts].[PriceSegment].[All]" allUniqueName="[Tblproducts].[PriceSegment].[All]" dimensionUniqueName="[Tblproducts]" displayFolder="" count="2" memberValueDatatype="130" unbalanced="0"/>
    <cacheHierarchy uniqueName="[Tblshippers].[ShipperID]" caption="ShipperID" attribute="1" defaultMemberUniqueName="[Tblshippers].[ShipperID].[All]" allUniqueName="[Tblshippers].[ShipperID].[All]" dimensionUniqueName="[Tblshippers]" displayFolder="" count="0" memberValueDatatype="20" unbalanced="0"/>
    <cacheHierarchy uniqueName="[Tblshippers].[ShipperName]" caption="ShipperName" attribute="1" defaultMemberUniqueName="[Tblshippers].[ShipperName].[All]" allUniqueName="[Tblshippers].[ShipperName].[All]" dimensionUniqueName="[Tblshippers]" displayFolder="" count="0" memberValueDatatype="130" unbalanced="0"/>
    <cacheHierarchy uniqueName="[Tblsuppliers].[SupplierID]" caption="SupplierID" attribute="1" defaultMemberUniqueName="[Tblsuppliers].[SupplierID].[All]" allUniqueName="[Tblsuppliers].[SupplierID].[All]" dimensionUniqueName="[Tblsuppliers]" displayFolder="" count="0" memberValueDatatype="20" unbalanced="0"/>
    <cacheHierarchy uniqueName="[Tblsuppliers].[SuppliersName]" caption="SuppliersName" attribute="1" defaultMemberUniqueName="[Tblsuppliers].[SuppliersName].[All]" allUniqueName="[Tblsuppliers].[SuppliersName].[All]" dimensionUniqueName="[Tblsuppliers]" displayFolder="" count="0" memberValueDatatype="130" unbalanced="0"/>
    <cacheHierarchy uniqueName="[Tblsuppliers].[City]" caption="City" attribute="1" defaultMemberUniqueName="[Tblsuppliers].[City].[All]" allUniqueName="[Tblsuppliers].[City].[All]" dimensionUniqueName="[Tblsuppliers]" displayFolder="" count="0" memberValueDatatype="130" unbalanced="0"/>
    <cacheHierarchy uniqueName="[Tblsuppliers].[Country]" caption="Country" attribute="1" defaultMemberUniqueName="[Tblsuppliers].[Country].[All]" allUniqueName="[Tblsuppliers].[Country].[All]" dimensionUniqueName="[Tblsuppliers]" displayFolder="" count="0" memberValueDatatype="130" unbalanced="0"/>
    <cacheHierarchy uniqueName="[Measures].[TotalQuantity]" caption="TotalQuantity" measure="1" displayFolder="" measureGroup="TblOrdersdetails" count="0"/>
    <cacheHierarchy uniqueName="[Measures].[TotalOrders]" caption="TotalOrders" measure="1" displayFolder="" measureGroup="TblOrdersdetails" count="0"/>
    <cacheHierarchy uniqueName="[Measures].[TotalSales]" caption="TotalSales" measure="1" displayFolder="" measureGroup="TblOrdersdetails" count="0" oneField="1">
      <fieldsUsage count="1">
        <fieldUsage x="1"/>
      </fieldsUsage>
    </cacheHierarchy>
    <cacheHierarchy uniqueName="[Measures].[AverageOrderValue]" caption="AverageOrderValue" measure="1" displayFolder="" measureGroup="TblOrdersdetails" count="0"/>
    <cacheHierarchy uniqueName="[Measures].[Average Quantity per Order]" caption="Average Quantity per Order" measure="1" displayFolder="" measureGroup="TblOrdersdetails" count="0"/>
    <cacheHierarchy uniqueName="[Measures].[TotalCustomers]" caption="TotalCustomers" measure="1" displayFolder="" measureGroup="TblOrdersdetails" count="0"/>
    <cacheHierarchy uniqueName="[Measures].[PurchaseFrequency]" caption="PurchaseFrequency" measure="1" displayFolder="" measureGroup="TblOrdersdetails" count="0"/>
    <cacheHierarchy uniqueName="[Measures].[__XL_Count Tblcategories]" caption="__XL_Count Tblcategories" measure="1" displayFolder="" measureGroup="Tblcategories" count="0" hidden="1"/>
    <cacheHierarchy uniqueName="[Measures].[__XL_Count TblCustomers]" caption="__XL_Count TblCustomers" measure="1" displayFolder="" measureGroup="TblCustomers" count="0" hidden="1"/>
    <cacheHierarchy uniqueName="[Measures].[__XL_Count Tblemployees]" caption="__XL_Count Tblemployees" measure="1" displayFolder="" measureGroup="Tblemployees" count="0" hidden="1"/>
    <cacheHierarchy uniqueName="[Measures].[__XL_Count TblOrders]" caption="__XL_Count TblOrders" measure="1" displayFolder="" measureGroup="TblOrders" count="0" hidden="1"/>
    <cacheHierarchy uniqueName="[Measures].[__XL_Count TblOrdersdetails]" caption="__XL_Count TblOrdersdetails" measure="1" displayFolder="" measureGroup="TblOrdersdetails" count="0" hidden="1"/>
    <cacheHierarchy uniqueName="[Measures].[__XL_Count Tblproducts]" caption="__XL_Count Tblproducts" measure="1" displayFolder="" measureGroup="Tblproducts" count="0" hidden="1"/>
    <cacheHierarchy uniqueName="[Measures].[__XL_Count Tblshippers]" caption="__XL_Count Tblshippers" measure="1" displayFolder="" measureGroup="Tblshippers" count="0" hidden="1"/>
    <cacheHierarchy uniqueName="[Measures].[__XL_Count Tblsuppliers]" caption="__XL_Count Tblsuppliers" measure="1" displayFolder="" measureGroup="Tblsuppliers" count="0" hidden="1"/>
    <cacheHierarchy uniqueName="[Measures].[__No measures defined]" caption="__No measures defined" measure="1" displayFolder="" count="0" hidden="1"/>
    <cacheHierarchy uniqueName="[Measures].[Sum of OrderID]" caption="Sum of OrderID" measure="1" displayFolder="" measureGroup="TblOrdersdetails" count="0" hidden="1">
      <extLst>
        <ext xmlns:x15="http://schemas.microsoft.com/office/spreadsheetml/2010/11/main" uri="{B97F6D7D-B522-45F9-BDA1-12C45D357490}">
          <x15:cacheHierarchy aggregatedColumn="19"/>
        </ext>
      </extLst>
    </cacheHierarchy>
  </cacheHierarchies>
  <kpis count="0"/>
  <dimensions count="9">
    <dimension measure="1" name="Measures" uniqueName="[Measures]" caption="Measures"/>
    <dimension name="Tblcategories" uniqueName="[Tblcategories]" caption="Tblcategories"/>
    <dimension name="TblCustomers" uniqueName="[TblCustomers]" caption="TblCustomers"/>
    <dimension name="Tblemployees" uniqueName="[Tblemployees]" caption="Tblemployees"/>
    <dimension name="TblOrders" uniqueName="[TblOrders]" caption="TblOrders"/>
    <dimension name="TblOrdersdetails" uniqueName="[TblOrdersdetails]" caption="TblOrdersdetails"/>
    <dimension name="Tblproducts" uniqueName="[Tblproducts]" caption="Tblproducts"/>
    <dimension name="Tblshippers" uniqueName="[Tblshippers]" caption="Tblshippers"/>
    <dimension name="Tblsuppliers" uniqueName="[Tblsuppliers]" caption="Tblsuppliers"/>
  </dimensions>
  <measureGroups count="8">
    <measureGroup name="Tblcategories" caption="Tblcategories"/>
    <measureGroup name="TblCustomers" caption="TblCustomers"/>
    <measureGroup name="Tblemployees" caption="Tblemployees"/>
    <measureGroup name="TblOrders" caption="TblOrders"/>
    <measureGroup name="TblOrdersdetails" caption="TblOrdersdetails"/>
    <measureGroup name="Tblproducts" caption="Tblproducts"/>
    <measureGroup name="Tblshippers" caption="Tblshippers"/>
    <measureGroup name="Tblsuppliers" caption="Tblsuppliers"/>
  </measureGroups>
  <maps count="20">
    <map measureGroup="0" dimension="1"/>
    <map measureGroup="1" dimension="2"/>
    <map measureGroup="2" dimension="3"/>
    <map measureGroup="3" dimension="2"/>
    <map measureGroup="3" dimension="3"/>
    <map measureGroup="3" dimension="4"/>
    <map measureGroup="3" dimension="7"/>
    <map measureGroup="4" dimension="1"/>
    <map measureGroup="4" dimension="2"/>
    <map measureGroup="4" dimension="3"/>
    <map measureGroup="4" dimension="4"/>
    <map measureGroup="4" dimension="5"/>
    <map measureGroup="4" dimension="6"/>
    <map measureGroup="4" dimension="7"/>
    <map measureGroup="4" dimension="8"/>
    <map measureGroup="5" dimension="1"/>
    <map measureGroup="5" dimension="6"/>
    <map measureGroup="5" dimension="8"/>
    <map measureGroup="6"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00.224311921294" createdVersion="8" refreshedVersion="8" minRefreshableVersion="3" recordCount="0" supportSubquery="1" supportAdvancedDrill="1" xr:uid="{2A8FA4F2-6F18-4791-9796-2EB7F0FFA814}">
  <cacheSource type="external" connectionId="9"/>
  <cacheFields count="3">
    <cacheField name="[Measures].[TotalSales]" caption="TotalSales" numFmtId="0" hierarchy="37" level="32767"/>
    <cacheField name="[Tblcategories].[CategoryName].[CategoryName]" caption="CategoryName" numFmtId="0" hierarchy="1" level="1">
      <sharedItems count="8">
        <s v="Beverages"/>
        <s v="Condiments"/>
        <s v="Confections"/>
        <s v="Dairy Products"/>
        <s v="Grains/Cereals"/>
        <s v="Meat/Poultry"/>
        <s v="Produce"/>
        <s v="Seafood"/>
      </sharedItems>
    </cacheField>
    <cacheField name="[TblCustomers].[Country].[Country]" caption="Country" numFmtId="0" hierarchy="5" level="1">
      <sharedItems containsSemiMixedTypes="0" containsNonDate="0" containsString="0"/>
    </cacheField>
  </cacheFields>
  <cacheHierarchies count="52">
    <cacheHierarchy uniqueName="[Tblcategories].[CategoryID]" caption="CategoryID" attribute="1" defaultMemberUniqueName="[Tblcategories].[CategoryID].[All]" allUniqueName="[Tblcategories].[CategoryID].[All]" dimensionUniqueName="[Tblcategories]" displayFolder="" count="0" memberValueDatatype="20" unbalanced="0"/>
    <cacheHierarchy uniqueName="[Tblcategories].[CategoryName]" caption="CategoryName" attribute="1" defaultMemberUniqueName="[Tblcategories].[CategoryName].[All]" allUniqueName="[Tblcategories].[CategoryName].[All]" dimensionUniqueName="[Tblcategories]" displayFolder="" count="2" memberValueDatatype="130" unbalanced="0">
      <fieldsUsage count="2">
        <fieldUsage x="-1"/>
        <fieldUsage x="1"/>
      </fieldsUsage>
    </cacheHierarchy>
    <cacheHierarchy uniqueName="[TblCustomers].[CustomerID]" caption="CustomerID" attribute="1" defaultMemberUniqueName="[TblCustomers].[CustomerID].[All]" allUniqueName="[TblCustomers].[CustomerID].[All]" dimensionUniqueName="[TblCustomers]" displayFolder="" count="0" memberValueDatatype="20" unbalanced="0"/>
    <cacheHierarchy uniqueName="[TblCustomers].[CustomerName]" caption="CustomerName" attribute="1" defaultMemberUniqueName="[TblCustomers].[CustomerName].[All]" allUniqueName="[TblCustomers].[CustomerName].[All]" dimensionUniqueName="[TblCustomers]" displayFolder="" count="0" memberValueDatatype="130" unbalanced="0"/>
    <cacheHierarchy uniqueName="[TblCustomers].[City]" caption="City" attribute="1" defaultMemberUniqueName="[TblCustomers].[City].[All]" allUniqueName="[TblCustomers].[City].[All]" dimensionUniqueName="[TblCustomers]" displayFolder="" count="0" memberValueDatatype="130" unbalanced="0"/>
    <cacheHierarchy uniqueName="[TblCustomers].[Country]" caption="Country" attribute="1" defaultMemberUniqueName="[TblCustomers].[Country].[All]" allUniqueName="[TblCustomers].[Country].[All]" dimensionUniqueName="[TblCustomers]" displayFolder="" count="2" memberValueDatatype="130" unbalanced="0">
      <fieldsUsage count="2">
        <fieldUsage x="-1"/>
        <fieldUsage x="2"/>
      </fieldsUsage>
    </cacheHierarchy>
    <cacheHierarchy uniqueName="[Tblemployees].[EmployeeID]" caption="EmployeeID" attribute="1" defaultMemberUniqueName="[Tblemployees].[EmployeeID].[All]" allUniqueName="[Tblemployees].[EmployeeID].[All]" dimensionUniqueName="[Tblemployees]" displayFolder="" count="0" memberValueDatatype="20" unbalanced="0"/>
    <cacheHierarchy uniqueName="[Tblemployees].[EmployeeName]" caption="EmployeeName" attribute="1" defaultMemberUniqueName="[Tblemployees].[EmployeeName].[All]" allUniqueName="[Tblemployees].[EmployeeName].[All]" dimensionUniqueName="[Tblemployees]" displayFolder="" count="0" memberValueDatatype="130" unbalanced="0"/>
    <cacheHierarchy uniqueName="[Tblemployees].[BirthDate]" caption="BirthDate" attribute="1" time="1" defaultMemberUniqueName="[Tblemployees].[BirthDate].[All]" allUniqueName="[Tblemployees].[BirthDate].[All]" dimensionUniqueName="[Tblemployees]" displayFolder="" count="0" memberValueDatatype="7" unbalanced="0"/>
    <cacheHierarchy uniqueName="[TblOrders].[OrderID]" caption="OrderID" attribute="1" defaultMemberUniqueName="[TblOrders].[OrderID].[All]" allUniqueName="[TblOrders].[OrderID].[All]" dimensionUniqueName="[TblOrders]" displayFolder="" count="0" memberValueDatatype="20" unbalanced="0"/>
    <cacheHierarchy uniqueName="[TblOrders].[CustomerID]" caption="CustomerID" attribute="1" defaultMemberUniqueName="[TblOrders].[CustomerID].[All]" allUniqueName="[TblOrders].[CustomerID].[All]" dimensionUniqueName="[TblOrders]" displayFolder="" count="0" memberValueDatatype="20" unbalanced="0"/>
    <cacheHierarchy uniqueName="[TblOrders].[EmployeeID]" caption="EmployeeID" attribute="1" defaultMemberUniqueName="[TblOrders].[EmployeeID].[All]" allUniqueName="[TblOrders].[EmployeeID].[All]" dimensionUniqueName="[TblOrders]" displayFolder="" count="0" memberValueDatatype="20" unbalanced="0"/>
    <cacheHierarchy uniqueName="[TblOrders].[OrderDate]" caption="OrderDate" attribute="1" time="1" defaultMemberUniqueName="[TblOrders].[OrderDate].[All]" allUniqueName="[TblOrders].[OrderDate].[All]" dimensionUniqueName="[TblOrders]" displayFolder="" count="0" memberValueDatatype="7" unbalanced="0"/>
    <cacheHierarchy uniqueName="[TblOrders].[ShipperID]" caption="ShipperID" attribute="1" defaultMemberUniqueName="[TblOrders].[ShipperID].[All]" allUniqueName="[TblOrders].[ShipperID].[All]" dimensionUniqueName="[TblOrders]" displayFolder="" count="0" memberValueDatatype="20" unbalanced="0"/>
    <cacheHierarchy uniqueName="[TblOrders].[Year]" caption="Year" attribute="1" defaultMemberUniqueName="[TblOrders].[Year].[All]" allUniqueName="[TblOrders].[Year].[All]" dimensionUniqueName="[TblOrders]" displayFolder="" count="2" memberValueDatatype="20" unbalanced="0"/>
    <cacheHierarchy uniqueName="[TblOrders].[Month]" caption="Month" attribute="1" defaultMemberUniqueName="[TblOrders].[Month].[All]" allUniqueName="[TblOrders].[Month].[All]" dimensionUniqueName="[TblOrders]" displayFolder="" count="2" memberValueDatatype="20" unbalanced="0"/>
    <cacheHierarchy uniqueName="[TblOrders].[Month Name]" caption="Month Name" attribute="1" defaultMemberUniqueName="[TblOrders].[Month Name].[All]" allUniqueName="[TblOrders].[Month Name].[All]" dimensionUniqueName="[TblOrders]" displayFolder="" count="0" memberValueDatatype="130" unbalanced="0"/>
    <cacheHierarchy uniqueName="[TblOrders].[Quarter]" caption="Quarter" attribute="1" defaultMemberUniqueName="[TblOrders].[Quarter].[All]" allUniqueName="[TblOrders].[Quarter].[All]" dimensionUniqueName="[TblOrders]" displayFolder="" count="0" memberValueDatatype="20" unbalanced="0"/>
    <cacheHierarchy uniqueName="[TblOrdersdetails].[OrderDetailID]" caption="OrderDetailID" attribute="1" defaultMemberUniqueName="[TblOrdersdetails].[OrderDetailID].[All]" allUniqueName="[TblOrdersdetails].[OrderDetailID].[All]" dimensionUniqueName="[TblOrdersdetails]" displayFolder="" count="0" memberValueDatatype="20" unbalanced="0"/>
    <cacheHierarchy uniqueName="[TblOrdersdetails].[OrderID]" caption="OrderID" attribute="1" defaultMemberUniqueName="[TblOrdersdetails].[OrderID].[All]" allUniqueName="[TblOrdersdetails].[OrderID].[All]" dimensionUniqueName="[TblOrdersdetails]" displayFolder="" count="0" memberValueDatatype="20" unbalanced="0"/>
    <cacheHierarchy uniqueName="[TblOrdersdetails].[ProductID]" caption="ProductID" attribute="1" defaultMemberUniqueName="[TblOrdersdetails].[ProductID].[All]" allUniqueName="[TblOrdersdetails].[ProductID].[All]" dimensionUniqueName="[TblOrdersdetails]" displayFolder="" count="0" memberValueDatatype="20" unbalanced="0"/>
    <cacheHierarchy uniqueName="[TblOrdersdetails].[Quantity]" caption="Quantity" attribute="1" defaultMemberUniqueName="[TblOrdersdetails].[Quantity].[All]" allUniqueName="[TblOrdersdetails].[Quantity].[All]" dimensionUniqueName="[TblOrdersdetails]" displayFolder="" count="0" memberValueDatatype="20" unbalanced="0"/>
    <cacheHierarchy uniqueName="[TblOrdersdetails].[SalesAmount]" caption="SalesAmount" attribute="1" defaultMemberUniqueName="[TblOrdersdetails].[SalesAmount].[All]" allUniqueName="[TblOrdersdetails].[SalesAmount].[All]" dimensionUniqueName="[TblOrdersdetails]" displayFolder="" count="0" memberValueDatatype="6" unbalanced="0"/>
    <cacheHierarchy uniqueName="[Tblproducts].[ProductID]" caption="ProductID" attribute="1" defaultMemberUniqueName="[Tblproducts].[ProductID].[All]" allUniqueName="[Tblproducts].[ProductID].[All]" dimensionUniqueName="[Tblproducts]" displayFolder="" count="0" memberValueDatatype="20" unbalanced="0"/>
    <cacheHierarchy uniqueName="[Tblproducts].[ProductName]" caption="ProductName" attribute="1" defaultMemberUniqueName="[Tblproducts].[ProductName].[All]" allUniqueName="[Tblproducts].[ProductName].[All]" dimensionUniqueName="[Tblproducts]" displayFolder="" count="0" memberValueDatatype="130" unbalanced="0"/>
    <cacheHierarchy uniqueName="[Tblproducts].[SuppliersID]" caption="SuppliersID" attribute="1" defaultMemberUniqueName="[Tblproducts].[SuppliersID].[All]" allUniqueName="[Tblproducts].[SuppliersID].[All]" dimensionUniqueName="[Tblproducts]" displayFolder="" count="0" memberValueDatatype="20" unbalanced="0"/>
    <cacheHierarchy uniqueName="[Tblproducts].[CategoryID]" caption="CategoryID" attribute="1" defaultMemberUniqueName="[Tblproducts].[CategoryID].[All]" allUniqueName="[Tblproducts].[CategoryID].[All]" dimensionUniqueName="[Tblproducts]" displayFolder="" count="0" memberValueDatatype="20" unbalanced="0"/>
    <cacheHierarchy uniqueName="[Tblproducts].[Price]" caption="Price" attribute="1" defaultMemberUniqueName="[Tblproducts].[Price].[All]" allUniqueName="[Tblproducts].[Price].[All]" dimensionUniqueName="[Tblproducts]" displayFolder="" count="0" memberValueDatatype="6" unbalanced="0"/>
    <cacheHierarchy uniqueName="[Tblproducts].[PriceSegment]" caption="PriceSegment" attribute="1" defaultMemberUniqueName="[Tblproducts].[PriceSegment].[All]" allUniqueName="[Tblproducts].[PriceSegment].[All]" dimensionUniqueName="[Tblproducts]" displayFolder="" count="2" memberValueDatatype="130" unbalanced="0"/>
    <cacheHierarchy uniqueName="[Tblshippers].[ShipperID]" caption="ShipperID" attribute="1" defaultMemberUniqueName="[Tblshippers].[ShipperID].[All]" allUniqueName="[Tblshippers].[ShipperID].[All]" dimensionUniqueName="[Tblshippers]" displayFolder="" count="0" memberValueDatatype="20" unbalanced="0"/>
    <cacheHierarchy uniqueName="[Tblshippers].[ShipperName]" caption="ShipperName" attribute="1" defaultMemberUniqueName="[Tblshippers].[ShipperName].[All]" allUniqueName="[Tblshippers].[ShipperName].[All]" dimensionUniqueName="[Tblshippers]" displayFolder="" count="0" memberValueDatatype="130" unbalanced="0"/>
    <cacheHierarchy uniqueName="[Tblsuppliers].[SupplierID]" caption="SupplierID" attribute="1" defaultMemberUniqueName="[Tblsuppliers].[SupplierID].[All]" allUniqueName="[Tblsuppliers].[SupplierID].[All]" dimensionUniqueName="[Tblsuppliers]" displayFolder="" count="0" memberValueDatatype="20" unbalanced="0"/>
    <cacheHierarchy uniqueName="[Tblsuppliers].[SuppliersName]" caption="SuppliersName" attribute="1" defaultMemberUniqueName="[Tblsuppliers].[SuppliersName].[All]" allUniqueName="[Tblsuppliers].[SuppliersName].[All]" dimensionUniqueName="[Tblsuppliers]" displayFolder="" count="0" memberValueDatatype="130" unbalanced="0"/>
    <cacheHierarchy uniqueName="[Tblsuppliers].[City]" caption="City" attribute="1" defaultMemberUniqueName="[Tblsuppliers].[City].[All]" allUniqueName="[Tblsuppliers].[City].[All]" dimensionUniqueName="[Tblsuppliers]" displayFolder="" count="0" memberValueDatatype="130" unbalanced="0"/>
    <cacheHierarchy uniqueName="[Tblsuppliers].[Country]" caption="Country" attribute="1" defaultMemberUniqueName="[Tblsuppliers].[Country].[All]" allUniqueName="[Tblsuppliers].[Country].[All]" dimensionUniqueName="[Tblsuppliers]" displayFolder="" count="0" memberValueDatatype="130" unbalanced="0"/>
    <cacheHierarchy uniqueName="[Measures].[TotalQuantity]" caption="TotalQuantity" measure="1" displayFolder="" measureGroup="TblOrdersdetails" count="0"/>
    <cacheHierarchy uniqueName="[Measures].[TotalOrders]" caption="TotalOrders" measure="1" displayFolder="" measureGroup="TblOrdersdetails" count="0"/>
    <cacheHierarchy uniqueName="[Measures].[TotalSales]" caption="TotalSales" measure="1" displayFolder="" measureGroup="TblOrdersdetails" count="0" oneField="1">
      <fieldsUsage count="1">
        <fieldUsage x="0"/>
      </fieldsUsage>
    </cacheHierarchy>
    <cacheHierarchy uniqueName="[Measures].[AverageOrderValue]" caption="AverageOrderValue" measure="1" displayFolder="" measureGroup="TblOrdersdetails" count="0"/>
    <cacheHierarchy uniqueName="[Measures].[Average Quantity per Order]" caption="Average Quantity per Order" measure="1" displayFolder="" measureGroup="TblOrdersdetails" count="0"/>
    <cacheHierarchy uniqueName="[Measures].[TotalCustomers]" caption="TotalCustomers" measure="1" displayFolder="" measureGroup="TblOrdersdetails" count="0"/>
    <cacheHierarchy uniqueName="[Measures].[PurchaseFrequency]" caption="PurchaseFrequency" measure="1" displayFolder="" measureGroup="TblOrdersdetails" count="0"/>
    <cacheHierarchy uniqueName="[Measures].[__XL_Count Tblcategories]" caption="__XL_Count Tblcategories" measure="1" displayFolder="" measureGroup="Tblcategories" count="0" hidden="1"/>
    <cacheHierarchy uniqueName="[Measures].[__XL_Count TblCustomers]" caption="__XL_Count TblCustomers" measure="1" displayFolder="" measureGroup="TblCustomers" count="0" hidden="1"/>
    <cacheHierarchy uniqueName="[Measures].[__XL_Count Tblemployees]" caption="__XL_Count Tblemployees" measure="1" displayFolder="" measureGroup="Tblemployees" count="0" hidden="1"/>
    <cacheHierarchy uniqueName="[Measures].[__XL_Count TblOrders]" caption="__XL_Count TblOrders" measure="1" displayFolder="" measureGroup="TblOrders" count="0" hidden="1"/>
    <cacheHierarchy uniqueName="[Measures].[__XL_Count TblOrdersdetails]" caption="__XL_Count TblOrdersdetails" measure="1" displayFolder="" measureGroup="TblOrdersdetails" count="0" hidden="1"/>
    <cacheHierarchy uniqueName="[Measures].[__XL_Count Tblproducts]" caption="__XL_Count Tblproducts" measure="1" displayFolder="" measureGroup="Tblproducts" count="0" hidden="1"/>
    <cacheHierarchy uniqueName="[Measures].[__XL_Count Tblshippers]" caption="__XL_Count Tblshippers" measure="1" displayFolder="" measureGroup="Tblshippers" count="0" hidden="1"/>
    <cacheHierarchy uniqueName="[Measures].[__XL_Count Tblsuppliers]" caption="__XL_Count Tblsuppliers" measure="1" displayFolder="" measureGroup="Tblsuppliers" count="0" hidden="1"/>
    <cacheHierarchy uniqueName="[Measures].[__No measures defined]" caption="__No measures defined" measure="1" displayFolder="" count="0" hidden="1"/>
    <cacheHierarchy uniqueName="[Measures].[Sum of OrderID]" caption="Sum of OrderID" measure="1" displayFolder="" measureGroup="TblOrdersdetails" count="0" hidden="1">
      <extLst>
        <ext xmlns:x15="http://schemas.microsoft.com/office/spreadsheetml/2010/11/main" uri="{B97F6D7D-B522-45F9-BDA1-12C45D357490}">
          <x15:cacheHierarchy aggregatedColumn="19"/>
        </ext>
      </extLst>
    </cacheHierarchy>
  </cacheHierarchies>
  <kpis count="0"/>
  <dimensions count="9">
    <dimension measure="1" name="Measures" uniqueName="[Measures]" caption="Measures"/>
    <dimension name="Tblcategories" uniqueName="[Tblcategories]" caption="Tblcategories"/>
    <dimension name="TblCustomers" uniqueName="[TblCustomers]" caption="TblCustomers"/>
    <dimension name="Tblemployees" uniqueName="[Tblemployees]" caption="Tblemployees"/>
    <dimension name="TblOrders" uniqueName="[TblOrders]" caption="TblOrders"/>
    <dimension name="TblOrdersdetails" uniqueName="[TblOrdersdetails]" caption="TblOrdersdetails"/>
    <dimension name="Tblproducts" uniqueName="[Tblproducts]" caption="Tblproducts"/>
    <dimension name="Tblshippers" uniqueName="[Tblshippers]" caption="Tblshippers"/>
    <dimension name="Tblsuppliers" uniqueName="[Tblsuppliers]" caption="Tblsuppliers"/>
  </dimensions>
  <measureGroups count="8">
    <measureGroup name="Tblcategories" caption="Tblcategories"/>
    <measureGroup name="TblCustomers" caption="TblCustomers"/>
    <measureGroup name="Tblemployees" caption="Tblemployees"/>
    <measureGroup name="TblOrders" caption="TblOrders"/>
    <measureGroup name="TblOrdersdetails" caption="TblOrdersdetails"/>
    <measureGroup name="Tblproducts" caption="Tblproducts"/>
    <measureGroup name="Tblshippers" caption="Tblshippers"/>
    <measureGroup name="Tblsuppliers" caption="Tblsuppliers"/>
  </measureGroups>
  <maps count="20">
    <map measureGroup="0" dimension="1"/>
    <map measureGroup="1" dimension="2"/>
    <map measureGroup="2" dimension="3"/>
    <map measureGroup="3" dimension="2"/>
    <map measureGroup="3" dimension="3"/>
    <map measureGroup="3" dimension="4"/>
    <map measureGroup="3" dimension="7"/>
    <map measureGroup="4" dimension="1"/>
    <map measureGroup="4" dimension="2"/>
    <map measureGroup="4" dimension="3"/>
    <map measureGroup="4" dimension="4"/>
    <map measureGroup="4" dimension="5"/>
    <map measureGroup="4" dimension="6"/>
    <map measureGroup="4" dimension="7"/>
    <map measureGroup="4" dimension="8"/>
    <map measureGroup="5" dimension="1"/>
    <map measureGroup="5" dimension="6"/>
    <map measureGroup="5" dimension="8"/>
    <map measureGroup="6"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00.224312500002" createdVersion="8" refreshedVersion="8" minRefreshableVersion="3" recordCount="0" supportSubquery="1" supportAdvancedDrill="1" xr:uid="{8B45D6EE-59B0-429F-9D56-AE14E8AAD8DC}">
  <cacheSource type="external" connectionId="9"/>
  <cacheFields count="3">
    <cacheField name="[Measures].[TotalSales]" caption="TotalSales" numFmtId="0" hierarchy="37" level="32767"/>
    <cacheField name="[Tblproducts].[PriceSegment].[PriceSegment]" caption="PriceSegment" numFmtId="0" hierarchy="28" level="1">
      <sharedItems count="3">
        <s v="Economy"/>
        <s v="Premium"/>
        <s v="Standard"/>
      </sharedItems>
    </cacheField>
    <cacheField name="[TblCustomers].[Country].[Country]" caption="Country" numFmtId="0" hierarchy="5" level="1">
      <sharedItems containsSemiMixedTypes="0" containsNonDate="0" containsString="0"/>
    </cacheField>
  </cacheFields>
  <cacheHierarchies count="52">
    <cacheHierarchy uniqueName="[Tblcategories].[CategoryID]" caption="CategoryID" attribute="1" defaultMemberUniqueName="[Tblcategories].[CategoryID].[All]" allUniqueName="[Tblcategories].[CategoryID].[All]" dimensionUniqueName="[Tblcategories]" displayFolder="" count="0" memberValueDatatype="20" unbalanced="0"/>
    <cacheHierarchy uniqueName="[Tblcategories].[CategoryName]" caption="CategoryName" attribute="1" defaultMemberUniqueName="[Tblcategories].[CategoryName].[All]" allUniqueName="[Tblcategories].[CategoryName].[All]" dimensionUniqueName="[Tblcategories]" displayFolder="" count="2" memberValueDatatype="130" unbalanced="0"/>
    <cacheHierarchy uniqueName="[TblCustomers].[CustomerID]" caption="CustomerID" attribute="1" defaultMemberUniqueName="[TblCustomers].[CustomerID].[All]" allUniqueName="[TblCustomers].[CustomerID].[All]" dimensionUniqueName="[TblCustomers]" displayFolder="" count="0" memberValueDatatype="20" unbalanced="0"/>
    <cacheHierarchy uniqueName="[TblCustomers].[CustomerName]" caption="CustomerName" attribute="1" defaultMemberUniqueName="[TblCustomers].[CustomerName].[All]" allUniqueName="[TblCustomers].[CustomerName].[All]" dimensionUniqueName="[TblCustomers]" displayFolder="" count="0" memberValueDatatype="130" unbalanced="0"/>
    <cacheHierarchy uniqueName="[TblCustomers].[City]" caption="City" attribute="1" defaultMemberUniqueName="[TblCustomers].[City].[All]" allUniqueName="[TblCustomers].[City].[All]" dimensionUniqueName="[TblCustomers]" displayFolder="" count="0" memberValueDatatype="130" unbalanced="0"/>
    <cacheHierarchy uniqueName="[TblCustomers].[Country]" caption="Country" attribute="1" defaultMemberUniqueName="[TblCustomers].[Country].[All]" allUniqueName="[TblCustomers].[Country].[All]" dimensionUniqueName="[TblCustomers]" displayFolder="" count="2" memberValueDatatype="130" unbalanced="0">
      <fieldsUsage count="2">
        <fieldUsage x="-1"/>
        <fieldUsage x="2"/>
      </fieldsUsage>
    </cacheHierarchy>
    <cacheHierarchy uniqueName="[Tblemployees].[EmployeeID]" caption="EmployeeID" attribute="1" defaultMemberUniqueName="[Tblemployees].[EmployeeID].[All]" allUniqueName="[Tblemployees].[EmployeeID].[All]" dimensionUniqueName="[Tblemployees]" displayFolder="" count="0" memberValueDatatype="20" unbalanced="0"/>
    <cacheHierarchy uniqueName="[Tblemployees].[EmployeeName]" caption="EmployeeName" attribute="1" defaultMemberUniqueName="[Tblemployees].[EmployeeName].[All]" allUniqueName="[Tblemployees].[EmployeeName].[All]" dimensionUniqueName="[Tblemployees]" displayFolder="" count="0" memberValueDatatype="130" unbalanced="0"/>
    <cacheHierarchy uniqueName="[Tblemployees].[BirthDate]" caption="BirthDate" attribute="1" time="1" defaultMemberUniqueName="[Tblemployees].[BirthDate].[All]" allUniqueName="[Tblemployees].[BirthDate].[All]" dimensionUniqueName="[Tblemployees]" displayFolder="" count="0" memberValueDatatype="7" unbalanced="0"/>
    <cacheHierarchy uniqueName="[TblOrders].[OrderID]" caption="OrderID" attribute="1" defaultMemberUniqueName="[TblOrders].[OrderID].[All]" allUniqueName="[TblOrders].[OrderID].[All]" dimensionUniqueName="[TblOrders]" displayFolder="" count="0" memberValueDatatype="20" unbalanced="0"/>
    <cacheHierarchy uniqueName="[TblOrders].[CustomerID]" caption="CustomerID" attribute="1" defaultMemberUniqueName="[TblOrders].[CustomerID].[All]" allUniqueName="[TblOrders].[CustomerID].[All]" dimensionUniqueName="[TblOrders]" displayFolder="" count="0" memberValueDatatype="20" unbalanced="0"/>
    <cacheHierarchy uniqueName="[TblOrders].[EmployeeID]" caption="EmployeeID" attribute="1" defaultMemberUniqueName="[TblOrders].[EmployeeID].[All]" allUniqueName="[TblOrders].[EmployeeID].[All]" dimensionUniqueName="[TblOrders]" displayFolder="" count="0" memberValueDatatype="20" unbalanced="0"/>
    <cacheHierarchy uniqueName="[TblOrders].[OrderDate]" caption="OrderDate" attribute="1" time="1" defaultMemberUniqueName="[TblOrders].[OrderDate].[All]" allUniqueName="[TblOrders].[OrderDate].[All]" dimensionUniqueName="[TblOrders]" displayFolder="" count="0" memberValueDatatype="7" unbalanced="0"/>
    <cacheHierarchy uniqueName="[TblOrders].[ShipperID]" caption="ShipperID" attribute="1" defaultMemberUniqueName="[TblOrders].[ShipperID].[All]" allUniqueName="[TblOrders].[ShipperID].[All]" dimensionUniqueName="[TblOrders]" displayFolder="" count="0" memberValueDatatype="20" unbalanced="0"/>
    <cacheHierarchy uniqueName="[TblOrders].[Year]" caption="Year" attribute="1" defaultMemberUniqueName="[TblOrders].[Year].[All]" allUniqueName="[TblOrders].[Year].[All]" dimensionUniqueName="[TblOrders]" displayFolder="" count="2" memberValueDatatype="20" unbalanced="0"/>
    <cacheHierarchy uniqueName="[TblOrders].[Month]" caption="Month" attribute="1" defaultMemberUniqueName="[TblOrders].[Month].[All]" allUniqueName="[TblOrders].[Month].[All]" dimensionUniqueName="[TblOrders]" displayFolder="" count="2" memberValueDatatype="20" unbalanced="0"/>
    <cacheHierarchy uniqueName="[TblOrders].[Month Name]" caption="Month Name" attribute="1" defaultMemberUniqueName="[TblOrders].[Month Name].[All]" allUniqueName="[TblOrders].[Month Name].[All]" dimensionUniqueName="[TblOrders]" displayFolder="" count="0" memberValueDatatype="130" unbalanced="0"/>
    <cacheHierarchy uniqueName="[TblOrders].[Quarter]" caption="Quarter" attribute="1" defaultMemberUniqueName="[TblOrders].[Quarter].[All]" allUniqueName="[TblOrders].[Quarter].[All]" dimensionUniqueName="[TblOrders]" displayFolder="" count="0" memberValueDatatype="20" unbalanced="0"/>
    <cacheHierarchy uniqueName="[TblOrdersdetails].[OrderDetailID]" caption="OrderDetailID" attribute="1" defaultMemberUniqueName="[TblOrdersdetails].[OrderDetailID].[All]" allUniqueName="[TblOrdersdetails].[OrderDetailID].[All]" dimensionUniqueName="[TblOrdersdetails]" displayFolder="" count="0" memberValueDatatype="20" unbalanced="0"/>
    <cacheHierarchy uniqueName="[TblOrdersdetails].[OrderID]" caption="OrderID" attribute="1" defaultMemberUniqueName="[TblOrdersdetails].[OrderID].[All]" allUniqueName="[TblOrdersdetails].[OrderID].[All]" dimensionUniqueName="[TblOrdersdetails]" displayFolder="" count="0" memberValueDatatype="20" unbalanced="0"/>
    <cacheHierarchy uniqueName="[TblOrdersdetails].[ProductID]" caption="ProductID" attribute="1" defaultMemberUniqueName="[TblOrdersdetails].[ProductID].[All]" allUniqueName="[TblOrdersdetails].[ProductID].[All]" dimensionUniqueName="[TblOrdersdetails]" displayFolder="" count="0" memberValueDatatype="20" unbalanced="0"/>
    <cacheHierarchy uniqueName="[TblOrdersdetails].[Quantity]" caption="Quantity" attribute="1" defaultMemberUniqueName="[TblOrdersdetails].[Quantity].[All]" allUniqueName="[TblOrdersdetails].[Quantity].[All]" dimensionUniqueName="[TblOrdersdetails]" displayFolder="" count="0" memberValueDatatype="20" unbalanced="0"/>
    <cacheHierarchy uniqueName="[TblOrdersdetails].[SalesAmount]" caption="SalesAmount" attribute="1" defaultMemberUniqueName="[TblOrdersdetails].[SalesAmount].[All]" allUniqueName="[TblOrdersdetails].[SalesAmount].[All]" dimensionUniqueName="[TblOrdersdetails]" displayFolder="" count="0" memberValueDatatype="6" unbalanced="0"/>
    <cacheHierarchy uniqueName="[Tblproducts].[ProductID]" caption="ProductID" attribute="1" defaultMemberUniqueName="[Tblproducts].[ProductID].[All]" allUniqueName="[Tblproducts].[ProductID].[All]" dimensionUniqueName="[Tblproducts]" displayFolder="" count="0" memberValueDatatype="20" unbalanced="0"/>
    <cacheHierarchy uniqueName="[Tblproducts].[ProductName]" caption="ProductName" attribute="1" defaultMemberUniqueName="[Tblproducts].[ProductName].[All]" allUniqueName="[Tblproducts].[ProductName].[All]" dimensionUniqueName="[Tblproducts]" displayFolder="" count="0" memberValueDatatype="130" unbalanced="0"/>
    <cacheHierarchy uniqueName="[Tblproducts].[SuppliersID]" caption="SuppliersID" attribute="1" defaultMemberUniqueName="[Tblproducts].[SuppliersID].[All]" allUniqueName="[Tblproducts].[SuppliersID].[All]" dimensionUniqueName="[Tblproducts]" displayFolder="" count="0" memberValueDatatype="20" unbalanced="0"/>
    <cacheHierarchy uniqueName="[Tblproducts].[CategoryID]" caption="CategoryID" attribute="1" defaultMemberUniqueName="[Tblproducts].[CategoryID].[All]" allUniqueName="[Tblproducts].[CategoryID].[All]" dimensionUniqueName="[Tblproducts]" displayFolder="" count="0" memberValueDatatype="20" unbalanced="0"/>
    <cacheHierarchy uniqueName="[Tblproducts].[Price]" caption="Price" attribute="1" defaultMemberUniqueName="[Tblproducts].[Price].[All]" allUniqueName="[Tblproducts].[Price].[All]" dimensionUniqueName="[Tblproducts]" displayFolder="" count="0" memberValueDatatype="6" unbalanced="0"/>
    <cacheHierarchy uniqueName="[Tblproducts].[PriceSegment]" caption="PriceSegment" attribute="1" defaultMemberUniqueName="[Tblproducts].[PriceSegment].[All]" allUniqueName="[Tblproducts].[PriceSegment].[All]" dimensionUniqueName="[Tblproducts]" displayFolder="" count="2" memberValueDatatype="130" unbalanced="0">
      <fieldsUsage count="2">
        <fieldUsage x="-1"/>
        <fieldUsage x="1"/>
      </fieldsUsage>
    </cacheHierarchy>
    <cacheHierarchy uniqueName="[Tblshippers].[ShipperID]" caption="ShipperID" attribute="1" defaultMemberUniqueName="[Tblshippers].[ShipperID].[All]" allUniqueName="[Tblshippers].[ShipperID].[All]" dimensionUniqueName="[Tblshippers]" displayFolder="" count="0" memberValueDatatype="20" unbalanced="0"/>
    <cacheHierarchy uniqueName="[Tblshippers].[ShipperName]" caption="ShipperName" attribute="1" defaultMemberUniqueName="[Tblshippers].[ShipperName].[All]" allUniqueName="[Tblshippers].[ShipperName].[All]" dimensionUniqueName="[Tblshippers]" displayFolder="" count="0" memberValueDatatype="130" unbalanced="0"/>
    <cacheHierarchy uniqueName="[Tblsuppliers].[SupplierID]" caption="SupplierID" attribute="1" defaultMemberUniqueName="[Tblsuppliers].[SupplierID].[All]" allUniqueName="[Tblsuppliers].[SupplierID].[All]" dimensionUniqueName="[Tblsuppliers]" displayFolder="" count="0" memberValueDatatype="20" unbalanced="0"/>
    <cacheHierarchy uniqueName="[Tblsuppliers].[SuppliersName]" caption="SuppliersName" attribute="1" defaultMemberUniqueName="[Tblsuppliers].[SuppliersName].[All]" allUniqueName="[Tblsuppliers].[SuppliersName].[All]" dimensionUniqueName="[Tblsuppliers]" displayFolder="" count="0" memberValueDatatype="130" unbalanced="0"/>
    <cacheHierarchy uniqueName="[Tblsuppliers].[City]" caption="City" attribute="1" defaultMemberUniqueName="[Tblsuppliers].[City].[All]" allUniqueName="[Tblsuppliers].[City].[All]" dimensionUniqueName="[Tblsuppliers]" displayFolder="" count="0" memberValueDatatype="130" unbalanced="0"/>
    <cacheHierarchy uniqueName="[Tblsuppliers].[Country]" caption="Country" attribute="1" defaultMemberUniqueName="[Tblsuppliers].[Country].[All]" allUniqueName="[Tblsuppliers].[Country].[All]" dimensionUniqueName="[Tblsuppliers]" displayFolder="" count="0" memberValueDatatype="130" unbalanced="0"/>
    <cacheHierarchy uniqueName="[Measures].[TotalQuantity]" caption="TotalQuantity" measure="1" displayFolder="" measureGroup="TblOrdersdetails" count="0"/>
    <cacheHierarchy uniqueName="[Measures].[TotalOrders]" caption="TotalOrders" measure="1" displayFolder="" measureGroup="TblOrdersdetails" count="0"/>
    <cacheHierarchy uniqueName="[Measures].[TotalSales]" caption="TotalSales" measure="1" displayFolder="" measureGroup="TblOrdersdetails" count="0" oneField="1">
      <fieldsUsage count="1">
        <fieldUsage x="0"/>
      </fieldsUsage>
    </cacheHierarchy>
    <cacheHierarchy uniqueName="[Measures].[AverageOrderValue]" caption="AverageOrderValue" measure="1" displayFolder="" measureGroup="TblOrdersdetails" count="0"/>
    <cacheHierarchy uniqueName="[Measures].[Average Quantity per Order]" caption="Average Quantity per Order" measure="1" displayFolder="" measureGroup="TblOrdersdetails" count="0"/>
    <cacheHierarchy uniqueName="[Measures].[TotalCustomers]" caption="TotalCustomers" measure="1" displayFolder="" measureGroup="TblOrdersdetails" count="0"/>
    <cacheHierarchy uniqueName="[Measures].[PurchaseFrequency]" caption="PurchaseFrequency" measure="1" displayFolder="" measureGroup="TblOrdersdetails" count="0"/>
    <cacheHierarchy uniqueName="[Measures].[__XL_Count Tblcategories]" caption="__XL_Count Tblcategories" measure="1" displayFolder="" measureGroup="Tblcategories" count="0" hidden="1"/>
    <cacheHierarchy uniqueName="[Measures].[__XL_Count TblCustomers]" caption="__XL_Count TblCustomers" measure="1" displayFolder="" measureGroup="TblCustomers" count="0" hidden="1"/>
    <cacheHierarchy uniqueName="[Measures].[__XL_Count Tblemployees]" caption="__XL_Count Tblemployees" measure="1" displayFolder="" measureGroup="Tblemployees" count="0" hidden="1"/>
    <cacheHierarchy uniqueName="[Measures].[__XL_Count TblOrders]" caption="__XL_Count TblOrders" measure="1" displayFolder="" measureGroup="TblOrders" count="0" hidden="1"/>
    <cacheHierarchy uniqueName="[Measures].[__XL_Count TblOrdersdetails]" caption="__XL_Count TblOrdersdetails" measure="1" displayFolder="" measureGroup="TblOrdersdetails" count="0" hidden="1"/>
    <cacheHierarchy uniqueName="[Measures].[__XL_Count Tblproducts]" caption="__XL_Count Tblproducts" measure="1" displayFolder="" measureGroup="Tblproducts" count="0" hidden="1"/>
    <cacheHierarchy uniqueName="[Measures].[__XL_Count Tblshippers]" caption="__XL_Count Tblshippers" measure="1" displayFolder="" measureGroup="Tblshippers" count="0" hidden="1"/>
    <cacheHierarchy uniqueName="[Measures].[__XL_Count Tblsuppliers]" caption="__XL_Count Tblsuppliers" measure="1" displayFolder="" measureGroup="Tblsuppliers" count="0" hidden="1"/>
    <cacheHierarchy uniqueName="[Measures].[__No measures defined]" caption="__No measures defined" measure="1" displayFolder="" count="0" hidden="1"/>
    <cacheHierarchy uniqueName="[Measures].[Sum of OrderID]" caption="Sum of OrderID" measure="1" displayFolder="" measureGroup="TblOrdersdetails" count="0" hidden="1">
      <extLst>
        <ext xmlns:x15="http://schemas.microsoft.com/office/spreadsheetml/2010/11/main" uri="{B97F6D7D-B522-45F9-BDA1-12C45D357490}">
          <x15:cacheHierarchy aggregatedColumn="19"/>
        </ext>
      </extLst>
    </cacheHierarchy>
  </cacheHierarchies>
  <kpis count="0"/>
  <dimensions count="9">
    <dimension measure="1" name="Measures" uniqueName="[Measures]" caption="Measures"/>
    <dimension name="Tblcategories" uniqueName="[Tblcategories]" caption="Tblcategories"/>
    <dimension name="TblCustomers" uniqueName="[TblCustomers]" caption="TblCustomers"/>
    <dimension name="Tblemployees" uniqueName="[Tblemployees]" caption="Tblemployees"/>
    <dimension name="TblOrders" uniqueName="[TblOrders]" caption="TblOrders"/>
    <dimension name="TblOrdersdetails" uniqueName="[TblOrdersdetails]" caption="TblOrdersdetails"/>
    <dimension name="Tblproducts" uniqueName="[Tblproducts]" caption="Tblproducts"/>
    <dimension name="Tblshippers" uniqueName="[Tblshippers]" caption="Tblshippers"/>
    <dimension name="Tblsuppliers" uniqueName="[Tblsuppliers]" caption="Tblsuppliers"/>
  </dimensions>
  <measureGroups count="8">
    <measureGroup name="Tblcategories" caption="Tblcategories"/>
    <measureGroup name="TblCustomers" caption="TblCustomers"/>
    <measureGroup name="Tblemployees" caption="Tblemployees"/>
    <measureGroup name="TblOrders" caption="TblOrders"/>
    <measureGroup name="TblOrdersdetails" caption="TblOrdersdetails"/>
    <measureGroup name="Tblproducts" caption="Tblproducts"/>
    <measureGroup name="Tblshippers" caption="Tblshippers"/>
    <measureGroup name="Tblsuppliers" caption="Tblsuppliers"/>
  </measureGroups>
  <maps count="20">
    <map measureGroup="0" dimension="1"/>
    <map measureGroup="1" dimension="2"/>
    <map measureGroup="2" dimension="3"/>
    <map measureGroup="3" dimension="2"/>
    <map measureGroup="3" dimension="3"/>
    <map measureGroup="3" dimension="4"/>
    <map measureGroup="3" dimension="7"/>
    <map measureGroup="4" dimension="1"/>
    <map measureGroup="4" dimension="2"/>
    <map measureGroup="4" dimension="3"/>
    <map measureGroup="4" dimension="4"/>
    <map measureGroup="4" dimension="5"/>
    <map measureGroup="4" dimension="6"/>
    <map measureGroup="4" dimension="7"/>
    <map measureGroup="4" dimension="8"/>
    <map measureGroup="5" dimension="1"/>
    <map measureGroup="5" dimension="6"/>
    <map measureGroup="5" dimension="8"/>
    <map measureGroup="6"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00.224313310187" createdVersion="8" refreshedVersion="8" minRefreshableVersion="3" recordCount="0" supportSubquery="1" supportAdvancedDrill="1" xr:uid="{B0080A3A-84CD-44BC-BF30-7C6BED63887A}">
  <cacheSource type="external" connectionId="9"/>
  <cacheFields count="5">
    <cacheField name="[Measures].[TotalSales]" caption="TotalSales" numFmtId="0" hierarchy="37" level="32767"/>
    <cacheField name="[Measures].[Sum of OrderID]" caption="Sum of OrderID" numFmtId="0" hierarchy="51" level="32767"/>
    <cacheField name="[Measures].[TotalQuantity]" caption="TotalQuantity" numFmtId="0" hierarchy="35" level="32767"/>
    <cacheField name="[Measures].[AverageOrderValue]" caption="AverageOrderValue" numFmtId="0" hierarchy="38" level="32767"/>
    <cacheField name="[TblCustomers].[Country].[Country]" caption="Country" numFmtId="0" hierarchy="5" level="1">
      <sharedItems containsSemiMixedTypes="0" containsNonDate="0" containsString="0"/>
    </cacheField>
  </cacheFields>
  <cacheHierarchies count="52">
    <cacheHierarchy uniqueName="[Tblcategories].[CategoryID]" caption="CategoryID" attribute="1" defaultMemberUniqueName="[Tblcategories].[CategoryID].[All]" allUniqueName="[Tblcategories].[CategoryID].[All]" dimensionUniqueName="[Tblcategories]" displayFolder="" count="0" memberValueDatatype="20" unbalanced="0"/>
    <cacheHierarchy uniqueName="[Tblcategories].[CategoryName]" caption="CategoryName" attribute="1" defaultMemberUniqueName="[Tblcategories].[CategoryName].[All]" allUniqueName="[Tblcategories].[CategoryName].[All]" dimensionUniqueName="[Tblcategories]" displayFolder="" count="2" memberValueDatatype="130" unbalanced="0"/>
    <cacheHierarchy uniqueName="[TblCustomers].[CustomerID]" caption="CustomerID" attribute="1" defaultMemberUniqueName="[TblCustomers].[CustomerID].[All]" allUniqueName="[TblCustomers].[CustomerID].[All]" dimensionUniqueName="[TblCustomers]" displayFolder="" count="0" memberValueDatatype="20" unbalanced="0"/>
    <cacheHierarchy uniqueName="[TblCustomers].[CustomerName]" caption="CustomerName" attribute="1" defaultMemberUniqueName="[TblCustomers].[CustomerName].[All]" allUniqueName="[TblCustomers].[CustomerName].[All]" dimensionUniqueName="[TblCustomers]" displayFolder="" count="0" memberValueDatatype="130" unbalanced="0"/>
    <cacheHierarchy uniqueName="[TblCustomers].[City]" caption="City" attribute="1" defaultMemberUniqueName="[TblCustomers].[City].[All]" allUniqueName="[TblCustomers].[City].[All]" dimensionUniqueName="[TblCustomers]" displayFolder="" count="0" memberValueDatatype="130" unbalanced="0"/>
    <cacheHierarchy uniqueName="[TblCustomers].[Country]" caption="Country" attribute="1" defaultMemberUniqueName="[TblCustomers].[Country].[All]" allUniqueName="[TblCustomers].[Country].[All]" dimensionUniqueName="[TblCustomers]" displayFolder="" count="2" memberValueDatatype="130" unbalanced="0">
      <fieldsUsage count="2">
        <fieldUsage x="-1"/>
        <fieldUsage x="4"/>
      </fieldsUsage>
    </cacheHierarchy>
    <cacheHierarchy uniqueName="[Tblemployees].[EmployeeID]" caption="EmployeeID" attribute="1" defaultMemberUniqueName="[Tblemployees].[EmployeeID].[All]" allUniqueName="[Tblemployees].[EmployeeID].[All]" dimensionUniqueName="[Tblemployees]" displayFolder="" count="0" memberValueDatatype="20" unbalanced="0"/>
    <cacheHierarchy uniqueName="[Tblemployees].[EmployeeName]" caption="EmployeeName" attribute="1" defaultMemberUniqueName="[Tblemployees].[EmployeeName].[All]" allUniqueName="[Tblemployees].[EmployeeName].[All]" dimensionUniqueName="[Tblemployees]" displayFolder="" count="0" memberValueDatatype="130" unbalanced="0"/>
    <cacheHierarchy uniqueName="[Tblemployees].[BirthDate]" caption="BirthDate" attribute="1" time="1" defaultMemberUniqueName="[Tblemployees].[BirthDate].[All]" allUniqueName="[Tblemployees].[BirthDate].[All]" dimensionUniqueName="[Tblemployees]" displayFolder="" count="0" memberValueDatatype="7" unbalanced="0"/>
    <cacheHierarchy uniqueName="[TblOrders].[OrderID]" caption="OrderID" attribute="1" defaultMemberUniqueName="[TblOrders].[OrderID].[All]" allUniqueName="[TblOrders].[OrderID].[All]" dimensionUniqueName="[TblOrders]" displayFolder="" count="0" memberValueDatatype="20" unbalanced="0"/>
    <cacheHierarchy uniqueName="[TblOrders].[CustomerID]" caption="CustomerID" attribute="1" defaultMemberUniqueName="[TblOrders].[CustomerID].[All]" allUniqueName="[TblOrders].[CustomerID].[All]" dimensionUniqueName="[TblOrders]" displayFolder="" count="0" memberValueDatatype="20" unbalanced="0"/>
    <cacheHierarchy uniqueName="[TblOrders].[EmployeeID]" caption="EmployeeID" attribute="1" defaultMemberUniqueName="[TblOrders].[EmployeeID].[All]" allUniqueName="[TblOrders].[EmployeeID].[All]" dimensionUniqueName="[TblOrders]" displayFolder="" count="0" memberValueDatatype="20" unbalanced="0"/>
    <cacheHierarchy uniqueName="[TblOrders].[OrderDate]" caption="OrderDate" attribute="1" time="1" defaultMemberUniqueName="[TblOrders].[OrderDate].[All]" allUniqueName="[TblOrders].[OrderDate].[All]" dimensionUniqueName="[TblOrders]" displayFolder="" count="0" memberValueDatatype="7" unbalanced="0"/>
    <cacheHierarchy uniqueName="[TblOrders].[ShipperID]" caption="ShipperID" attribute="1" defaultMemberUniqueName="[TblOrders].[ShipperID].[All]" allUniqueName="[TblOrders].[ShipperID].[All]" dimensionUniqueName="[TblOrders]" displayFolder="" count="0" memberValueDatatype="20" unbalanced="0"/>
    <cacheHierarchy uniqueName="[TblOrders].[Year]" caption="Year" attribute="1" defaultMemberUniqueName="[TblOrders].[Year].[All]" allUniqueName="[TblOrders].[Year].[All]" dimensionUniqueName="[TblOrders]" displayFolder="" count="2" memberValueDatatype="20" unbalanced="0"/>
    <cacheHierarchy uniqueName="[TblOrders].[Month]" caption="Month" attribute="1" defaultMemberUniqueName="[TblOrders].[Month].[All]" allUniqueName="[TblOrders].[Month].[All]" dimensionUniqueName="[TblOrders]" displayFolder="" count="2" memberValueDatatype="20" unbalanced="0"/>
    <cacheHierarchy uniqueName="[TblOrders].[Month Name]" caption="Month Name" attribute="1" defaultMemberUniqueName="[TblOrders].[Month Name].[All]" allUniqueName="[TblOrders].[Month Name].[All]" dimensionUniqueName="[TblOrders]" displayFolder="" count="0" memberValueDatatype="130" unbalanced="0"/>
    <cacheHierarchy uniqueName="[TblOrders].[Quarter]" caption="Quarter" attribute="1" defaultMemberUniqueName="[TblOrders].[Quarter].[All]" allUniqueName="[TblOrders].[Quarter].[All]" dimensionUniqueName="[TblOrders]" displayFolder="" count="0" memberValueDatatype="20" unbalanced="0"/>
    <cacheHierarchy uniqueName="[TblOrdersdetails].[OrderDetailID]" caption="OrderDetailID" attribute="1" defaultMemberUniqueName="[TblOrdersdetails].[OrderDetailID].[All]" allUniqueName="[TblOrdersdetails].[OrderDetailID].[All]" dimensionUniqueName="[TblOrdersdetails]" displayFolder="" count="0" memberValueDatatype="20" unbalanced="0"/>
    <cacheHierarchy uniqueName="[TblOrdersdetails].[OrderID]" caption="OrderID" attribute="1" defaultMemberUniqueName="[TblOrdersdetails].[OrderID].[All]" allUniqueName="[TblOrdersdetails].[OrderID].[All]" dimensionUniqueName="[TblOrdersdetails]" displayFolder="" count="0" memberValueDatatype="20" unbalanced="0"/>
    <cacheHierarchy uniqueName="[TblOrdersdetails].[ProductID]" caption="ProductID" attribute="1" defaultMemberUniqueName="[TblOrdersdetails].[ProductID].[All]" allUniqueName="[TblOrdersdetails].[ProductID].[All]" dimensionUniqueName="[TblOrdersdetails]" displayFolder="" count="0" memberValueDatatype="20" unbalanced="0"/>
    <cacheHierarchy uniqueName="[TblOrdersdetails].[Quantity]" caption="Quantity" attribute="1" defaultMemberUniqueName="[TblOrdersdetails].[Quantity].[All]" allUniqueName="[TblOrdersdetails].[Quantity].[All]" dimensionUniqueName="[TblOrdersdetails]" displayFolder="" count="0" memberValueDatatype="20" unbalanced="0"/>
    <cacheHierarchy uniqueName="[TblOrdersdetails].[SalesAmount]" caption="SalesAmount" attribute="1" defaultMemberUniqueName="[TblOrdersdetails].[SalesAmount].[All]" allUniqueName="[TblOrdersdetails].[SalesAmount].[All]" dimensionUniqueName="[TblOrdersdetails]" displayFolder="" count="0" memberValueDatatype="6" unbalanced="0"/>
    <cacheHierarchy uniqueName="[Tblproducts].[ProductID]" caption="ProductID" attribute="1" defaultMemberUniqueName="[Tblproducts].[ProductID].[All]" allUniqueName="[Tblproducts].[ProductID].[All]" dimensionUniqueName="[Tblproducts]" displayFolder="" count="0" memberValueDatatype="20" unbalanced="0"/>
    <cacheHierarchy uniqueName="[Tblproducts].[ProductName]" caption="ProductName" attribute="1" defaultMemberUniqueName="[Tblproducts].[ProductName].[All]" allUniqueName="[Tblproducts].[ProductName].[All]" dimensionUniqueName="[Tblproducts]" displayFolder="" count="0" memberValueDatatype="130" unbalanced="0"/>
    <cacheHierarchy uniqueName="[Tblproducts].[SuppliersID]" caption="SuppliersID" attribute="1" defaultMemberUniqueName="[Tblproducts].[SuppliersID].[All]" allUniqueName="[Tblproducts].[SuppliersID].[All]" dimensionUniqueName="[Tblproducts]" displayFolder="" count="0" memberValueDatatype="20" unbalanced="0"/>
    <cacheHierarchy uniqueName="[Tblproducts].[CategoryID]" caption="CategoryID" attribute="1" defaultMemberUniqueName="[Tblproducts].[CategoryID].[All]" allUniqueName="[Tblproducts].[CategoryID].[All]" dimensionUniqueName="[Tblproducts]" displayFolder="" count="0" memberValueDatatype="20" unbalanced="0"/>
    <cacheHierarchy uniqueName="[Tblproducts].[Price]" caption="Price" attribute="1" defaultMemberUniqueName="[Tblproducts].[Price].[All]" allUniqueName="[Tblproducts].[Price].[All]" dimensionUniqueName="[Tblproducts]" displayFolder="" count="0" memberValueDatatype="6" unbalanced="0"/>
    <cacheHierarchy uniqueName="[Tblproducts].[PriceSegment]" caption="PriceSegment" attribute="1" defaultMemberUniqueName="[Tblproducts].[PriceSegment].[All]" allUniqueName="[Tblproducts].[PriceSegment].[All]" dimensionUniqueName="[Tblproducts]" displayFolder="" count="2" memberValueDatatype="130" unbalanced="0"/>
    <cacheHierarchy uniqueName="[Tblshippers].[ShipperID]" caption="ShipperID" attribute="1" defaultMemberUniqueName="[Tblshippers].[ShipperID].[All]" allUniqueName="[Tblshippers].[ShipperID].[All]" dimensionUniqueName="[Tblshippers]" displayFolder="" count="0" memberValueDatatype="20" unbalanced="0"/>
    <cacheHierarchy uniqueName="[Tblshippers].[ShipperName]" caption="ShipperName" attribute="1" defaultMemberUniqueName="[Tblshippers].[ShipperName].[All]" allUniqueName="[Tblshippers].[ShipperName].[All]" dimensionUniqueName="[Tblshippers]" displayFolder="" count="0" memberValueDatatype="130" unbalanced="0"/>
    <cacheHierarchy uniqueName="[Tblsuppliers].[SupplierID]" caption="SupplierID" attribute="1" defaultMemberUniqueName="[Tblsuppliers].[SupplierID].[All]" allUniqueName="[Tblsuppliers].[SupplierID].[All]" dimensionUniqueName="[Tblsuppliers]" displayFolder="" count="0" memberValueDatatype="20" unbalanced="0"/>
    <cacheHierarchy uniqueName="[Tblsuppliers].[SuppliersName]" caption="SuppliersName" attribute="1" defaultMemberUniqueName="[Tblsuppliers].[SuppliersName].[All]" allUniqueName="[Tblsuppliers].[SuppliersName].[All]" dimensionUniqueName="[Tblsuppliers]" displayFolder="" count="0" memberValueDatatype="130" unbalanced="0"/>
    <cacheHierarchy uniqueName="[Tblsuppliers].[City]" caption="City" attribute="1" defaultMemberUniqueName="[Tblsuppliers].[City].[All]" allUniqueName="[Tblsuppliers].[City].[All]" dimensionUniqueName="[Tblsuppliers]" displayFolder="" count="0" memberValueDatatype="130" unbalanced="0"/>
    <cacheHierarchy uniqueName="[Tblsuppliers].[Country]" caption="Country" attribute="1" defaultMemberUniqueName="[Tblsuppliers].[Country].[All]" allUniqueName="[Tblsuppliers].[Country].[All]" dimensionUniqueName="[Tblsuppliers]" displayFolder="" count="0" memberValueDatatype="130" unbalanced="0"/>
    <cacheHierarchy uniqueName="[Measures].[TotalQuantity]" caption="TotalQuantity" measure="1" displayFolder="" measureGroup="TblOrdersdetails" count="0" oneField="1">
      <fieldsUsage count="1">
        <fieldUsage x="2"/>
      </fieldsUsage>
    </cacheHierarchy>
    <cacheHierarchy uniqueName="[Measures].[TotalOrders]" caption="TotalOrders" measure="1" displayFolder="" measureGroup="TblOrdersdetails" count="0"/>
    <cacheHierarchy uniqueName="[Measures].[TotalSales]" caption="TotalSales" measure="1" displayFolder="" measureGroup="TblOrdersdetails" count="0" oneField="1">
      <fieldsUsage count="1">
        <fieldUsage x="0"/>
      </fieldsUsage>
    </cacheHierarchy>
    <cacheHierarchy uniqueName="[Measures].[AverageOrderValue]" caption="AverageOrderValue" measure="1" displayFolder="" measureGroup="TblOrdersdetails" count="0" oneField="1">
      <fieldsUsage count="1">
        <fieldUsage x="3"/>
      </fieldsUsage>
    </cacheHierarchy>
    <cacheHierarchy uniqueName="[Measures].[Average Quantity per Order]" caption="Average Quantity per Order" measure="1" displayFolder="" measureGroup="TblOrdersdetails" count="0"/>
    <cacheHierarchy uniqueName="[Measures].[TotalCustomers]" caption="TotalCustomers" measure="1" displayFolder="" measureGroup="TblOrdersdetails" count="0"/>
    <cacheHierarchy uniqueName="[Measures].[PurchaseFrequency]" caption="PurchaseFrequency" measure="1" displayFolder="" measureGroup="TblOrdersdetails" count="0"/>
    <cacheHierarchy uniqueName="[Measures].[__XL_Count Tblcategories]" caption="__XL_Count Tblcategories" measure="1" displayFolder="" measureGroup="Tblcategories" count="0" hidden="1"/>
    <cacheHierarchy uniqueName="[Measures].[__XL_Count TblCustomers]" caption="__XL_Count TblCustomers" measure="1" displayFolder="" measureGroup="TblCustomers" count="0" hidden="1"/>
    <cacheHierarchy uniqueName="[Measures].[__XL_Count Tblemployees]" caption="__XL_Count Tblemployees" measure="1" displayFolder="" measureGroup="Tblemployees" count="0" hidden="1"/>
    <cacheHierarchy uniqueName="[Measures].[__XL_Count TblOrders]" caption="__XL_Count TblOrders" measure="1" displayFolder="" measureGroup="TblOrders" count="0" hidden="1"/>
    <cacheHierarchy uniqueName="[Measures].[__XL_Count TblOrdersdetails]" caption="__XL_Count TblOrdersdetails" measure="1" displayFolder="" measureGroup="TblOrdersdetails" count="0" hidden="1"/>
    <cacheHierarchy uniqueName="[Measures].[__XL_Count Tblproducts]" caption="__XL_Count Tblproducts" measure="1" displayFolder="" measureGroup="Tblproducts" count="0" hidden="1"/>
    <cacheHierarchy uniqueName="[Measures].[__XL_Count Tblshippers]" caption="__XL_Count Tblshippers" measure="1" displayFolder="" measureGroup="Tblshippers" count="0" hidden="1"/>
    <cacheHierarchy uniqueName="[Measures].[__XL_Count Tblsuppliers]" caption="__XL_Count Tblsuppliers" measure="1" displayFolder="" measureGroup="Tblsuppliers" count="0" hidden="1"/>
    <cacheHierarchy uniqueName="[Measures].[__No measures defined]" caption="__No measures defined" measure="1" displayFolder="" count="0" hidden="1"/>
    <cacheHierarchy uniqueName="[Measures].[Sum of OrderID]" caption="Sum of OrderID" measure="1" displayFolder="" measureGroup="TblOrdersdetails" count="0" oneField="1" hidden="1">
      <fieldsUsage count="1">
        <fieldUsage x="1"/>
      </fieldsUsage>
      <extLst>
        <ext xmlns:x15="http://schemas.microsoft.com/office/spreadsheetml/2010/11/main" uri="{B97F6D7D-B522-45F9-BDA1-12C45D357490}">
          <x15:cacheHierarchy aggregatedColumn="19"/>
        </ext>
      </extLst>
    </cacheHierarchy>
  </cacheHierarchies>
  <kpis count="0"/>
  <dimensions count="9">
    <dimension measure="1" name="Measures" uniqueName="[Measures]" caption="Measures"/>
    <dimension name="Tblcategories" uniqueName="[Tblcategories]" caption="Tblcategories"/>
    <dimension name="TblCustomers" uniqueName="[TblCustomers]" caption="TblCustomers"/>
    <dimension name="Tblemployees" uniqueName="[Tblemployees]" caption="Tblemployees"/>
    <dimension name="TblOrders" uniqueName="[TblOrders]" caption="TblOrders"/>
    <dimension name="TblOrdersdetails" uniqueName="[TblOrdersdetails]" caption="TblOrdersdetails"/>
    <dimension name="Tblproducts" uniqueName="[Tblproducts]" caption="Tblproducts"/>
    <dimension name="Tblshippers" uniqueName="[Tblshippers]" caption="Tblshippers"/>
    <dimension name="Tblsuppliers" uniqueName="[Tblsuppliers]" caption="Tblsuppliers"/>
  </dimensions>
  <measureGroups count="8">
    <measureGroup name="Tblcategories" caption="Tblcategories"/>
    <measureGroup name="TblCustomers" caption="TblCustomers"/>
    <measureGroup name="Tblemployees" caption="Tblemployees"/>
    <measureGroup name="TblOrders" caption="TblOrders"/>
    <measureGroup name="TblOrdersdetails" caption="TblOrdersdetails"/>
    <measureGroup name="Tblproducts" caption="Tblproducts"/>
    <measureGroup name="Tblshippers" caption="Tblshippers"/>
    <measureGroup name="Tblsuppliers" caption="Tblsuppliers"/>
  </measureGroups>
  <maps count="20">
    <map measureGroup="0" dimension="1"/>
    <map measureGroup="1" dimension="2"/>
    <map measureGroup="2" dimension="3"/>
    <map measureGroup="3" dimension="2"/>
    <map measureGroup="3" dimension="3"/>
    <map measureGroup="3" dimension="4"/>
    <map measureGroup="3" dimension="7"/>
    <map measureGroup="4" dimension="1"/>
    <map measureGroup="4" dimension="2"/>
    <map measureGroup="4" dimension="3"/>
    <map measureGroup="4" dimension="4"/>
    <map measureGroup="4" dimension="5"/>
    <map measureGroup="4" dimension="6"/>
    <map measureGroup="4" dimension="7"/>
    <map measureGroup="4" dimension="8"/>
    <map measureGroup="5" dimension="1"/>
    <map measureGroup="5" dimension="6"/>
    <map measureGroup="5" dimension="8"/>
    <map measureGroup="6"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99.160602314812" createdVersion="3" refreshedVersion="8" minRefreshableVersion="3" recordCount="0" supportSubquery="1" supportAdvancedDrill="1" xr:uid="{BED24F0F-3B45-44E8-957B-1F0736DC0BFD}">
  <cacheSource type="external" connectionId="9">
    <extLst>
      <ext xmlns:x14="http://schemas.microsoft.com/office/spreadsheetml/2009/9/main" uri="{F057638F-6D5F-4e77-A914-E7F072B9BCA8}">
        <x14:sourceConnection name="ThisWorkbookDataModel"/>
      </ext>
    </extLst>
  </cacheSource>
  <cacheFields count="0"/>
  <cacheHierarchies count="51">
    <cacheHierarchy uniqueName="[Tblcategories].[CategoryID]" caption="CategoryID" attribute="1" defaultMemberUniqueName="[Tblcategories].[CategoryID].[All]" allUniqueName="[Tblcategories].[CategoryID].[All]" dimensionUniqueName="[Tblcategories]" displayFolder="" count="0" memberValueDatatype="20" unbalanced="0"/>
    <cacheHierarchy uniqueName="[Tblcategories].[CategoryName]" caption="CategoryName" attribute="1" defaultMemberUniqueName="[Tblcategories].[CategoryName].[All]" allUniqueName="[Tblcategories].[CategoryName].[All]" dimensionUniqueName="[Tblcategories]" displayFolder="" count="2" memberValueDatatype="130" unbalanced="0"/>
    <cacheHierarchy uniqueName="[TblCustomers].[CustomerID]" caption="CustomerID" attribute="1" defaultMemberUniqueName="[TblCustomers].[CustomerID].[All]" allUniqueName="[TblCustomers].[CustomerID].[All]" dimensionUniqueName="[TblCustomers]" displayFolder="" count="0" memberValueDatatype="20" unbalanced="0"/>
    <cacheHierarchy uniqueName="[TblCustomers].[CustomerName]" caption="CustomerName" attribute="1" defaultMemberUniqueName="[TblCustomers].[CustomerName].[All]" allUniqueName="[TblCustomers].[CustomerName].[All]" dimensionUniqueName="[TblCustomers]" displayFolder="" count="0" memberValueDatatype="130" unbalanced="0"/>
    <cacheHierarchy uniqueName="[TblCustomers].[City]" caption="City" attribute="1" defaultMemberUniqueName="[TblCustomers].[City].[All]" allUniqueName="[TblCustomers].[City].[All]" dimensionUniqueName="[TblCustomers]" displayFolder="" count="0" memberValueDatatype="130" unbalanced="0"/>
    <cacheHierarchy uniqueName="[TblCustomers].[Country]" caption="Country" attribute="1" defaultMemberUniqueName="[TblCustomers].[Country].[All]" allUniqueName="[TblCustomers].[Country].[All]" dimensionUniqueName="[TblCustomers]" displayFolder="" count="2" memberValueDatatype="130" unbalanced="0"/>
    <cacheHierarchy uniqueName="[Tblemployees].[EmployeeID]" caption="EmployeeID" attribute="1" defaultMemberUniqueName="[Tblemployees].[EmployeeID].[All]" allUniqueName="[Tblemployees].[EmployeeID].[All]" dimensionUniqueName="[Tblemployees]" displayFolder="" count="0" memberValueDatatype="20" unbalanced="0"/>
    <cacheHierarchy uniqueName="[Tblemployees].[EmployeeName]" caption="EmployeeName" attribute="1" defaultMemberUniqueName="[Tblemployees].[EmployeeName].[All]" allUniqueName="[Tblemployees].[EmployeeName].[All]" dimensionUniqueName="[Tblemployees]" displayFolder="" count="0" memberValueDatatype="130" unbalanced="0"/>
    <cacheHierarchy uniqueName="[Tblemployees].[BirthDate]" caption="BirthDate" attribute="1" time="1" defaultMemberUniqueName="[Tblemployees].[BirthDate].[All]" allUniqueName="[Tblemployees].[BirthDate].[All]" dimensionUniqueName="[Tblemployees]" displayFolder="" count="0" memberValueDatatype="7" unbalanced="0"/>
    <cacheHierarchy uniqueName="[TblOrders].[OrderID]" caption="OrderID" attribute="1" defaultMemberUniqueName="[TblOrders].[OrderID].[All]" allUniqueName="[TblOrders].[OrderID].[All]" dimensionUniqueName="[TblOrders]" displayFolder="" count="0" memberValueDatatype="20" unbalanced="0"/>
    <cacheHierarchy uniqueName="[TblOrders].[CustomerID]" caption="CustomerID" attribute="1" defaultMemberUniqueName="[TblOrders].[CustomerID].[All]" allUniqueName="[TblOrders].[CustomerID].[All]" dimensionUniqueName="[TblOrders]" displayFolder="" count="0" memberValueDatatype="20" unbalanced="0"/>
    <cacheHierarchy uniqueName="[TblOrders].[EmployeeID]" caption="EmployeeID" attribute="1" defaultMemberUniqueName="[TblOrders].[EmployeeID].[All]" allUniqueName="[TblOrders].[EmployeeID].[All]" dimensionUniqueName="[TblOrders]" displayFolder="" count="0" memberValueDatatype="20" unbalanced="0"/>
    <cacheHierarchy uniqueName="[TblOrders].[OrderDate]" caption="OrderDate" attribute="1" time="1" defaultMemberUniqueName="[TblOrders].[OrderDate].[All]" allUniqueName="[TblOrders].[OrderDate].[All]" dimensionUniqueName="[TblOrders]" displayFolder="" count="0" memberValueDatatype="7" unbalanced="0"/>
    <cacheHierarchy uniqueName="[TblOrders].[ShipperID]" caption="ShipperID" attribute="1" defaultMemberUniqueName="[TblOrders].[ShipperID].[All]" allUniqueName="[TblOrders].[ShipperID].[All]" dimensionUniqueName="[TblOrders]" displayFolder="" count="0" memberValueDatatype="20" unbalanced="0"/>
    <cacheHierarchy uniqueName="[TblOrders].[Year]" caption="Year" attribute="1" defaultMemberUniqueName="[TblOrders].[Year].[All]" allUniqueName="[TblOrders].[Year].[All]" dimensionUniqueName="[TblOrders]" displayFolder="" count="2" memberValueDatatype="20" unbalanced="0"/>
    <cacheHierarchy uniqueName="[TblOrders].[Month]" caption="Month" attribute="1" defaultMemberUniqueName="[TblOrders].[Month].[All]" allUniqueName="[TblOrders].[Month].[All]" dimensionUniqueName="[TblOrders]" displayFolder="" count="2" memberValueDatatype="20" unbalanced="0"/>
    <cacheHierarchy uniqueName="[TblOrders].[Month Name]" caption="Month Name" attribute="1" defaultMemberUniqueName="[TblOrders].[Month Name].[All]" allUniqueName="[TblOrders].[Month Name].[All]" dimensionUniqueName="[TblOrders]" displayFolder="" count="0" memberValueDatatype="130" unbalanced="0"/>
    <cacheHierarchy uniqueName="[TblOrders].[Quarter]" caption="Quarter" attribute="1" defaultMemberUniqueName="[TblOrders].[Quarter].[All]" allUniqueName="[TblOrders].[Quarter].[All]" dimensionUniqueName="[TblOrders]" displayFolder="" count="0" memberValueDatatype="20" unbalanced="0"/>
    <cacheHierarchy uniqueName="[TblOrdersdetails].[OrderDetailID]" caption="OrderDetailID" attribute="1" defaultMemberUniqueName="[TblOrdersdetails].[OrderDetailID].[All]" allUniqueName="[TblOrdersdetails].[OrderDetailID].[All]" dimensionUniqueName="[TblOrdersdetails]" displayFolder="" count="0" memberValueDatatype="20" unbalanced="0"/>
    <cacheHierarchy uniqueName="[TblOrdersdetails].[OrderID]" caption="OrderID" attribute="1" defaultMemberUniqueName="[TblOrdersdetails].[OrderID].[All]" allUniqueName="[TblOrdersdetails].[OrderID].[All]" dimensionUniqueName="[TblOrdersdetails]" displayFolder="" count="0" memberValueDatatype="20" unbalanced="0"/>
    <cacheHierarchy uniqueName="[TblOrdersdetails].[ProductID]" caption="ProductID" attribute="1" defaultMemberUniqueName="[TblOrdersdetails].[ProductID].[All]" allUniqueName="[TblOrdersdetails].[ProductID].[All]" dimensionUniqueName="[TblOrdersdetails]" displayFolder="" count="0" memberValueDatatype="20" unbalanced="0"/>
    <cacheHierarchy uniqueName="[TblOrdersdetails].[Quantity]" caption="Quantity" attribute="1" defaultMemberUniqueName="[TblOrdersdetails].[Quantity].[All]" allUniqueName="[TblOrdersdetails].[Quantity].[All]" dimensionUniqueName="[TblOrdersdetails]" displayFolder="" count="0" memberValueDatatype="20" unbalanced="0"/>
    <cacheHierarchy uniqueName="[TblOrdersdetails].[SalesAmount]" caption="SalesAmount" attribute="1" defaultMemberUniqueName="[TblOrdersdetails].[SalesAmount].[All]" allUniqueName="[TblOrdersdetails].[SalesAmount].[All]" dimensionUniqueName="[TblOrdersdetails]" displayFolder="" count="0" memberValueDatatype="6" unbalanced="0"/>
    <cacheHierarchy uniqueName="[Tblproducts].[ProductID]" caption="ProductID" attribute="1" defaultMemberUniqueName="[Tblproducts].[ProductID].[All]" allUniqueName="[Tblproducts].[ProductID].[All]" dimensionUniqueName="[Tblproducts]" displayFolder="" count="0" memberValueDatatype="20" unbalanced="0"/>
    <cacheHierarchy uniqueName="[Tblproducts].[ProductName]" caption="ProductName" attribute="1" defaultMemberUniqueName="[Tblproducts].[ProductName].[All]" allUniqueName="[Tblproducts].[ProductName].[All]" dimensionUniqueName="[Tblproducts]" displayFolder="" count="2" memberValueDatatype="130" unbalanced="0"/>
    <cacheHierarchy uniqueName="[Tblproducts].[SuppliersID]" caption="SuppliersID" attribute="1" defaultMemberUniqueName="[Tblproducts].[SuppliersID].[All]" allUniqueName="[Tblproducts].[SuppliersID].[All]" dimensionUniqueName="[Tblproducts]" displayFolder="" count="0" memberValueDatatype="20" unbalanced="0"/>
    <cacheHierarchy uniqueName="[Tblproducts].[CategoryID]" caption="CategoryID" attribute="1" defaultMemberUniqueName="[Tblproducts].[CategoryID].[All]" allUniqueName="[Tblproducts].[CategoryID].[All]" dimensionUniqueName="[Tblproducts]" displayFolder="" count="0" memberValueDatatype="20" unbalanced="0"/>
    <cacheHierarchy uniqueName="[Tblproducts].[Price]" caption="Price" attribute="1" defaultMemberUniqueName="[Tblproducts].[Price].[All]" allUniqueName="[Tblproducts].[Price].[All]" dimensionUniqueName="[Tblproducts]" displayFolder="" count="2" memberValueDatatype="6" unbalanced="0"/>
    <cacheHierarchy uniqueName="[Tblproducts].[PriceSegment]" caption="PriceSegment" attribute="1" defaultMemberUniqueName="[Tblproducts].[PriceSegment].[All]" allUniqueName="[Tblproducts].[PriceSegment].[All]" dimensionUniqueName="[Tblproducts]" displayFolder="" count="2" memberValueDatatype="130" unbalanced="0"/>
    <cacheHierarchy uniqueName="[Tblshippers].[ShipperID]" caption="ShipperID" attribute="1" defaultMemberUniqueName="[Tblshippers].[ShipperID].[All]" allUniqueName="[Tblshippers].[ShipperID].[All]" dimensionUniqueName="[Tblshippers]" displayFolder="" count="0" memberValueDatatype="20" unbalanced="0"/>
    <cacheHierarchy uniqueName="[Tblshippers].[ShipperName]" caption="ShipperName" attribute="1" defaultMemberUniqueName="[Tblshippers].[ShipperName].[All]" allUniqueName="[Tblshippers].[ShipperName].[All]" dimensionUniqueName="[Tblshippers]" displayFolder="" count="0" memberValueDatatype="130" unbalanced="0"/>
    <cacheHierarchy uniqueName="[Tblsuppliers].[SupplierID]" caption="SupplierID" attribute="1" defaultMemberUniqueName="[Tblsuppliers].[SupplierID].[All]" allUniqueName="[Tblsuppliers].[SupplierID].[All]" dimensionUniqueName="[Tblsuppliers]" displayFolder="" count="0" memberValueDatatype="20" unbalanced="0"/>
    <cacheHierarchy uniqueName="[Tblsuppliers].[SuppliersName]" caption="SuppliersName" attribute="1" defaultMemberUniqueName="[Tblsuppliers].[SuppliersName].[All]" allUniqueName="[Tblsuppliers].[SuppliersName].[All]" dimensionUniqueName="[Tblsuppliers]" displayFolder="" count="0" memberValueDatatype="130" unbalanced="0"/>
    <cacheHierarchy uniqueName="[Tblsuppliers].[City]" caption="City" attribute="1" defaultMemberUniqueName="[Tblsuppliers].[City].[All]" allUniqueName="[Tblsuppliers].[City].[All]" dimensionUniqueName="[Tblsuppliers]" displayFolder="" count="0" memberValueDatatype="130" unbalanced="0"/>
    <cacheHierarchy uniqueName="[Tblsuppliers].[Country]" caption="Country" attribute="1" defaultMemberUniqueName="[Tblsuppliers].[Country].[All]" allUniqueName="[Tblsuppliers].[Country].[All]" dimensionUniqueName="[Tblsuppliers]" displayFolder="" count="2" memberValueDatatype="130" unbalanced="0"/>
    <cacheHierarchy uniqueName="[Measures].[TotalQuantity]" caption="TotalQuantity" measure="1" displayFolder="" measureGroup="TblOrdersdetails" count="0"/>
    <cacheHierarchy uniqueName="[Measures].[TotalOrders]" caption="TotalOrders" measure="1" displayFolder="" measureGroup="TblOrdersdetails" count="0"/>
    <cacheHierarchy uniqueName="[Measures].[TotalSales]" caption="TotalSales" measure="1" displayFolder="" measureGroup="TblOrdersdetails" count="0"/>
    <cacheHierarchy uniqueName="[Measures].[AverageOrderValue]" caption="AverageOrderValue" measure="1" displayFolder="" measureGroup="TblOrdersdetails" count="0"/>
    <cacheHierarchy uniqueName="[Measures].[Average Quantity per Order]" caption="Average Quantity per Order" measure="1" displayFolder="" measureGroup="TblOrdersdetails" count="0"/>
    <cacheHierarchy uniqueName="[Measures].[TotalCustomers]" caption="TotalCustomers" measure="1" displayFolder="" measureGroup="TblOrdersdetails" count="0"/>
    <cacheHierarchy uniqueName="[Measures].[PurchaseFrequency]" caption="PurchaseFrequency" measure="1" displayFolder="" measureGroup="TblOrdersdetails" count="0"/>
    <cacheHierarchy uniqueName="[Measures].[__XL_Count Tblcategories]" caption="__XL_Count Tblcategories" measure="1" displayFolder="" measureGroup="Tblcategories" count="0" hidden="1"/>
    <cacheHierarchy uniqueName="[Measures].[__XL_Count TblCustomers]" caption="__XL_Count TblCustomers" measure="1" displayFolder="" measureGroup="TblCustomers" count="0" hidden="1"/>
    <cacheHierarchy uniqueName="[Measures].[__XL_Count Tblemployees]" caption="__XL_Count Tblemployees" measure="1" displayFolder="" measureGroup="Tblemployees" count="0" hidden="1"/>
    <cacheHierarchy uniqueName="[Measures].[__XL_Count TblOrders]" caption="__XL_Count TblOrders" measure="1" displayFolder="" measureGroup="TblOrders" count="0" hidden="1"/>
    <cacheHierarchy uniqueName="[Measures].[__XL_Count TblOrdersdetails]" caption="__XL_Count TblOrdersdetails" measure="1" displayFolder="" measureGroup="TblOrdersdetails" count="0" hidden="1"/>
    <cacheHierarchy uniqueName="[Measures].[__XL_Count Tblproducts]" caption="__XL_Count Tblproducts" measure="1" displayFolder="" measureGroup="Tblproducts" count="0" hidden="1"/>
    <cacheHierarchy uniqueName="[Measures].[__XL_Count Tblshippers]" caption="__XL_Count Tblshippers" measure="1" displayFolder="" measureGroup="Tblshippers" count="0" hidden="1"/>
    <cacheHierarchy uniqueName="[Measures].[__XL_Count Tblsuppliers]" caption="__XL_Count Tblsuppliers" measure="1" displayFolder="" measureGroup="Tblsupplier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977235972"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CCB3594-BA3A-44CB-81F7-A14493EFF898}" name="PivotTable4" cacheId="1349" applyNumberFormats="0" applyBorderFormats="0" applyFontFormats="0" applyPatternFormats="0" applyAlignmentFormats="0" applyWidthHeightFormats="1" dataCaption="Values" tag="b27f9894-d45a-48fd-9841-04fa2fdfcb94" updatedVersion="8" minRefreshableVersion="3" useAutoFormatting="1" subtotalHiddenItems="1" itemPrintTitles="1" createdVersion="8" indent="0" outline="1" outlineData="1" multipleFieldFilters="0" chartFormat="18">
  <location ref="V10:W14" firstHeaderRow="1" firstDataRow="1" firstDataCol="1"/>
  <pivotFields count="3">
    <pivotField dataField="1" subtotalTop="0" showAll="0" defaultSubtotal="0"/>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1"/>
  </rowFields>
  <rowItems count="4">
    <i>
      <x/>
    </i>
    <i>
      <x v="1"/>
    </i>
    <i>
      <x v="2"/>
    </i>
    <i t="grand">
      <x/>
    </i>
  </rowItems>
  <colItems count="1">
    <i/>
  </colItems>
  <dataFields count="1">
    <dataField fld="0" subtotal="count" baseField="0" baseItem="0"/>
  </dataFields>
  <chartFormats count="5">
    <chartFormat chart="0"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3" format="3">
      <pivotArea type="data" outline="0" fieldPosition="0">
        <references count="2">
          <reference field="4294967294" count="1" selected="0">
            <x v="0"/>
          </reference>
          <reference field="1" count="1" selected="0">
            <x v="1"/>
          </reference>
        </references>
      </pivotArea>
    </chartFormat>
    <chartFormat chart="13" format="4">
      <pivotArea type="data" outline="0" fieldPosition="0">
        <references count="2">
          <reference field="4294967294" count="1" selected="0">
            <x v="0"/>
          </reference>
          <reference field="1" count="1" selected="0">
            <x v="0"/>
          </reference>
        </references>
      </pivotArea>
    </chartFormat>
    <chartFormat chart="13" format="5">
      <pivotArea type="data" outline="0" fieldPosition="0">
        <references count="2">
          <reference field="4294967294" count="1" selected="0">
            <x v="0"/>
          </reference>
          <reference field="1" count="1" selected="0">
            <x v="2"/>
          </reference>
        </references>
      </pivotArea>
    </chartFormat>
  </chartFormats>
  <pivotHierarchies count="52">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2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blOrdersdetails]"/>
        <x15:activeTabTopLevelEntity name="[Tblproducts]"/>
        <x15:activeTabTopLevelEntity name="[Tblcategories]"/>
        <x15:activeTabTopLevelEntity name="[TblOrders]"/>
        <x15:activeTabTopLevelEntity name="[Tbl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1824316-64D3-4815-B5F4-778B9EBBA6A5}" name="PivotTable3" cacheId="1346" applyNumberFormats="0" applyBorderFormats="0" applyFontFormats="0" applyPatternFormats="0" applyAlignmentFormats="0" applyWidthHeightFormats="1" dataCaption="Values" tag="64a0207f-eadf-4078-a020-3e12f5a8dd64" updatedVersion="8" minRefreshableVersion="3" useAutoFormatting="1" subtotalHiddenItems="1" itemPrintTitles="1" createdVersion="8" indent="0" outline="1" outlineData="1" multipleFieldFilters="0" chartFormat="34">
  <location ref="Q11:R20" firstHeaderRow="1" firstDataRow="1" firstDataCol="1"/>
  <pivotFields count="3">
    <pivotField dataField="1" subtotalTop="0" showAll="0" defaultSubtotal="0"/>
    <pivotField axis="axisRow" allDrilled="1" subtotalTop="0" showAll="0" dataSourceSort="1" defaultSubtotal="0" defaultAttributeDrillState="1">
      <items count="8">
        <item x="0"/>
        <item x="1"/>
        <item x="2"/>
        <item x="3"/>
        <item x="4"/>
        <item x="5"/>
        <item x="6"/>
        <item x="7"/>
      </items>
    </pivotField>
    <pivotField allDrilled="1" subtotalTop="0" showAll="0" dataSourceSort="1" defaultSubtotal="0" defaultAttributeDrillState="1"/>
  </pivotFields>
  <rowFields count="1">
    <field x="1"/>
  </rowFields>
  <rowItems count="9">
    <i>
      <x/>
    </i>
    <i>
      <x v="1"/>
    </i>
    <i>
      <x v="2"/>
    </i>
    <i>
      <x v="3"/>
    </i>
    <i>
      <x v="4"/>
    </i>
    <i>
      <x v="5"/>
    </i>
    <i>
      <x v="6"/>
    </i>
    <i>
      <x v="7"/>
    </i>
    <i t="grand">
      <x/>
    </i>
  </rowItems>
  <colItems count="1">
    <i/>
  </colItems>
  <dataFields count="1">
    <dataField fld="0" subtotal="count" baseField="0" baseItem="0"/>
  </dataFields>
  <chartFormats count="11">
    <chartFormat chart="0" format="0" series="1">
      <pivotArea type="data" outline="0" fieldPosition="0">
        <references count="1">
          <reference field="4294967294" count="1" selected="0">
            <x v="0"/>
          </reference>
        </references>
      </pivotArea>
    </chartFormat>
    <chartFormat chart="0" format="67">
      <pivotArea type="data" outline="0" fieldPosition="0">
        <references count="2">
          <reference field="4294967294" count="1" selected="0">
            <x v="0"/>
          </reference>
          <reference field="1" count="1" selected="0">
            <x v="2"/>
          </reference>
        </references>
      </pivotArea>
    </chartFormat>
    <chartFormat chart="24" format="77" series="1">
      <pivotArea type="data" outline="0" fieldPosition="0">
        <references count="1">
          <reference field="4294967294" count="1" selected="0">
            <x v="0"/>
          </reference>
        </references>
      </pivotArea>
    </chartFormat>
    <chartFormat chart="24" format="78">
      <pivotArea type="data" outline="0" fieldPosition="0">
        <references count="2">
          <reference field="4294967294" count="1" selected="0">
            <x v="0"/>
          </reference>
          <reference field="1" count="1" selected="0">
            <x v="0"/>
          </reference>
        </references>
      </pivotArea>
    </chartFormat>
    <chartFormat chart="24" format="79">
      <pivotArea type="data" outline="0" fieldPosition="0">
        <references count="2">
          <reference field="4294967294" count="1" selected="0">
            <x v="0"/>
          </reference>
          <reference field="1" count="1" selected="0">
            <x v="1"/>
          </reference>
        </references>
      </pivotArea>
    </chartFormat>
    <chartFormat chart="24" format="80">
      <pivotArea type="data" outline="0" fieldPosition="0">
        <references count="2">
          <reference field="4294967294" count="1" selected="0">
            <x v="0"/>
          </reference>
          <reference field="1" count="1" selected="0">
            <x v="2"/>
          </reference>
        </references>
      </pivotArea>
    </chartFormat>
    <chartFormat chart="24" format="81">
      <pivotArea type="data" outline="0" fieldPosition="0">
        <references count="2">
          <reference field="4294967294" count="1" selected="0">
            <x v="0"/>
          </reference>
          <reference field="1" count="1" selected="0">
            <x v="3"/>
          </reference>
        </references>
      </pivotArea>
    </chartFormat>
    <chartFormat chart="24" format="82">
      <pivotArea type="data" outline="0" fieldPosition="0">
        <references count="2">
          <reference field="4294967294" count="1" selected="0">
            <x v="0"/>
          </reference>
          <reference field="1" count="1" selected="0">
            <x v="4"/>
          </reference>
        </references>
      </pivotArea>
    </chartFormat>
    <chartFormat chart="24" format="83">
      <pivotArea type="data" outline="0" fieldPosition="0">
        <references count="2">
          <reference field="4294967294" count="1" selected="0">
            <x v="0"/>
          </reference>
          <reference field="1" count="1" selected="0">
            <x v="5"/>
          </reference>
        </references>
      </pivotArea>
    </chartFormat>
    <chartFormat chart="24" format="84">
      <pivotArea type="data" outline="0" fieldPosition="0">
        <references count="2">
          <reference field="4294967294" count="1" selected="0">
            <x v="0"/>
          </reference>
          <reference field="1" count="1" selected="0">
            <x v="6"/>
          </reference>
        </references>
      </pivotArea>
    </chartFormat>
    <chartFormat chart="24" format="85">
      <pivotArea type="data" outline="0" fieldPosition="0">
        <references count="2">
          <reference field="4294967294" count="1" selected="0">
            <x v="0"/>
          </reference>
          <reference field="1" count="1" selected="0">
            <x v="7"/>
          </reference>
        </references>
      </pivotArea>
    </chartFormat>
  </chartFormats>
  <pivotHierarchies count="52">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blOrdersdetails]"/>
        <x15:activeTabTopLevelEntity name="[Tblproducts]"/>
        <x15:activeTabTopLevelEntity name="[Tblcategories]"/>
        <x15:activeTabTopLevelEntity name="[Tbl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7BBF469-BBA3-4DCD-A765-0E9CAFAFE31A}" name="PivotTable2" cacheId="1340" applyNumberFormats="0" applyBorderFormats="0" applyFontFormats="0" applyPatternFormats="0" applyAlignmentFormats="0" applyWidthHeightFormats="1" dataCaption="Values" tag="8024ff79-931e-4861-8e01-31778e91f8a0" updatedVersion="8" minRefreshableVersion="3" useAutoFormatting="1" subtotalHiddenItems="1" itemPrintTitles="1" createdVersion="8" indent="0" outline="1" outlineData="1" multipleFieldFilters="0" chartFormat="16">
  <location ref="H4:I20" firstHeaderRow="1" firstDataRow="1" firstDataCol="1"/>
  <pivotFields count="2">
    <pivotField dataField="1" subtotalTop="0" showAll="0" defaultSubtotal="0"/>
    <pivotField axis="axisRow" allDrilled="1" subtotalTop="0" showAll="0" dataSourceSort="1" defaultSubtotal="0" defaultAttributeDrillState="1">
      <items count="15">
        <item x="0"/>
        <item x="1"/>
        <item x="2"/>
        <item x="3"/>
        <item x="4"/>
        <item x="5"/>
        <item x="6"/>
        <item x="7"/>
        <item x="8"/>
        <item x="9"/>
        <item x="10"/>
        <item x="11"/>
        <item x="12"/>
        <item x="13"/>
        <item x="14"/>
      </items>
    </pivotField>
  </pivotFields>
  <rowFields count="1">
    <field x="1"/>
  </rowFields>
  <rowItems count="16">
    <i>
      <x/>
    </i>
    <i>
      <x v="1"/>
    </i>
    <i>
      <x v="2"/>
    </i>
    <i>
      <x v="3"/>
    </i>
    <i>
      <x v="4"/>
    </i>
    <i>
      <x v="5"/>
    </i>
    <i>
      <x v="6"/>
    </i>
    <i>
      <x v="7"/>
    </i>
    <i>
      <x v="8"/>
    </i>
    <i>
      <x v="9"/>
    </i>
    <i>
      <x v="10"/>
    </i>
    <i>
      <x v="11"/>
    </i>
    <i>
      <x v="12"/>
    </i>
    <i>
      <x v="13"/>
    </i>
    <i>
      <x v="14"/>
    </i>
    <i t="grand">
      <x/>
    </i>
  </rowItems>
  <colItems count="1">
    <i/>
  </colItems>
  <dataFields count="1">
    <dataField fld="0" subtotal="count" baseField="0" baseItem="0"/>
  </dataFields>
  <chartFormats count="2">
    <chartFormat chart="8"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Hierarchies count="52">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blOrdersdetails]"/>
        <x15:activeTabTopLevelEntity name="[TblCustomers]"/>
        <x15:activeTabTopLevelEntity name="[Tblcategories]"/>
        <x15:activeTabTopLevelEntity name="[TblOrders]"/>
        <x15:activeTabTopLevelEntity name="[Tbl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EC2DF4E-5DE6-4FF9-8312-EEA4D4E4DA0C}" name="PivotTable1" cacheId="1343" applyNumberFormats="0" applyBorderFormats="0" applyFontFormats="0" applyPatternFormats="0" applyAlignmentFormats="0" applyWidthHeightFormats="1" dataCaption="Values" tag="b71dc617-44da-480b-a074-61cc728e9f04" updatedVersion="8" minRefreshableVersion="3" useAutoFormatting="1" subtotalHiddenItems="1" itemPrintTitles="1" createdVersion="5" indent="0" outline="1" outlineData="1" multipleFieldFilters="0" chartFormat="23">
  <location ref="B3:C12" firstHeaderRow="1" firstDataRow="1" firstDataCol="1"/>
  <pivotFields count="4">
    <pivotField axis="axisRow" allDrilled="1" subtotalTop="0" showAll="0" dataSourceSort="1" defaultSubtotal="0" defaultAttributeDrillState="1">
      <items count="4">
        <item x="0"/>
        <item x="1"/>
        <item x="2"/>
        <item x="3"/>
      </items>
    </pivotField>
    <pivotField dataField="1" subtotalTop="0" showAll="0" defaultSubtotal="0"/>
    <pivotField axis="axisRow" allDrilled="1" subtotalTop="0" showAll="0" dataSourceSort="1" defaultSubtotal="0" defaultAttributeDrillState="1">
      <items count="1">
        <item x="0"/>
      </items>
    </pivotField>
    <pivotField allDrilled="1" subtotalTop="0" showAll="0" dataSourceSort="1" defaultSubtotal="0" defaultAttributeDrillState="1"/>
  </pivotFields>
  <rowFields count="2">
    <field x="0"/>
    <field x="2"/>
  </rowFields>
  <rowItems count="9">
    <i>
      <x/>
    </i>
    <i r="1">
      <x/>
    </i>
    <i>
      <x v="1"/>
    </i>
    <i r="1">
      <x/>
    </i>
    <i>
      <x v="2"/>
    </i>
    <i r="1">
      <x/>
    </i>
    <i>
      <x v="3"/>
    </i>
    <i r="1">
      <x/>
    </i>
    <i t="grand">
      <x/>
    </i>
  </rowItems>
  <colItems count="1">
    <i/>
  </colItems>
  <dataFields count="1">
    <dataField fld="1" subtotal="count" baseField="0" baseItem="0"/>
  </dataFields>
  <chartFormats count="5">
    <chartFormat chart="5"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0" format="3">
      <pivotArea type="data" outline="0" fieldPosition="0">
        <references count="3">
          <reference field="4294967294" count="1" selected="0">
            <x v="0"/>
          </reference>
          <reference field="0" count="1" selected="0">
            <x v="2"/>
          </reference>
          <reference field="2" count="1" selected="0">
            <x v="0"/>
          </reference>
        </references>
      </pivotArea>
    </chartFormat>
    <chartFormat chart="10" format="4">
      <pivotArea type="data" outline="0" fieldPosition="0">
        <references count="3">
          <reference field="4294967294" count="1" selected="0">
            <x v="0"/>
          </reference>
          <reference field="0" count="1" selected="0">
            <x v="1"/>
          </reference>
          <reference field="2" count="1" selected="0">
            <x v="0"/>
          </reference>
        </references>
      </pivotArea>
    </chartFormat>
    <chartFormat chart="10" format="5">
      <pivotArea type="data" outline="0" fieldPosition="0">
        <references count="3">
          <reference field="4294967294" count="1" selected="0">
            <x v="0"/>
          </reference>
          <reference field="0" count="1" selected="0">
            <x v="3"/>
          </reference>
          <reference field="2" count="1" selected="0">
            <x v="0"/>
          </reference>
        </references>
      </pivotArea>
    </chartFormat>
  </chartFormats>
  <pivotHierarchies count="52">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2">
    <rowHierarchyUsage hierarchyUsage="15"/>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blOrders]"/>
        <x15:activeTabTopLevelEntity name="[TblOrdersdetails]"/>
        <x15:activeTabTopLevelEntity name="[Tblcategories]"/>
        <x15:activeTabTopLevelEntity name="[Tbl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964FDEC-4788-40C4-9768-BCA506AD53B5}" name="PivotTable5" cacheId="1352" applyNumberFormats="0" applyBorderFormats="0" applyFontFormats="0" applyPatternFormats="0" applyAlignmentFormats="0" applyWidthHeightFormats="1" dataCaption="Values" tag="ab302a39-1fe0-4417-81f8-6b2b2380bcff" updatedVersion="8" minRefreshableVersion="3" useAutoFormatting="1" subtotalHiddenItems="1" itemPrintTitles="1" createdVersion="8" indent="0" outline="1" outlineData="1" multipleFieldFilters="0">
  <location ref="A3:D4"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4">
    <i>
      <x/>
    </i>
    <i i="1">
      <x v="1"/>
    </i>
    <i i="2">
      <x v="2"/>
    </i>
    <i i="3">
      <x v="3"/>
    </i>
  </colItems>
  <dataFields count="4">
    <dataField fld="0" subtotal="count" baseField="0" baseItem="0" numFmtId="171"/>
    <dataField name="Sum of OrderID" fld="1" baseField="0" baseItem="0" numFmtId="169"/>
    <dataField fld="2" subtotal="count" baseField="0" baseItem="0" numFmtId="169"/>
    <dataField fld="3" subtotal="count" baseField="0" baseItem="0" numFmtId="171"/>
  </dataFields>
  <formats count="8">
    <format dxfId="0">
      <pivotArea outline="0" collapsedLevelsAreSubtotals="1" fieldPosition="0">
        <references count="1">
          <reference field="4294967294" count="1" selected="0">
            <x v="1"/>
          </reference>
        </references>
      </pivotArea>
    </format>
    <format dxfId="1">
      <pivotArea outline="0" collapsedLevelsAreSubtotals="1" fieldPosition="0">
        <references count="1">
          <reference field="4294967294" count="1" selected="0">
            <x v="1"/>
          </reference>
        </references>
      </pivotArea>
    </format>
    <format dxfId="2">
      <pivotArea outline="0" collapsedLevelsAreSubtotals="1" fieldPosition="0">
        <references count="1">
          <reference field="4294967294" count="1" selected="0">
            <x v="2"/>
          </reference>
        </references>
      </pivotArea>
    </format>
    <format dxfId="3">
      <pivotArea outline="0" collapsedLevelsAreSubtotals="1" fieldPosition="0">
        <references count="1">
          <reference field="4294967294" count="1" selected="0">
            <x v="2"/>
          </reference>
        </references>
      </pivotArea>
    </format>
    <format dxfId="4">
      <pivotArea outline="0" collapsedLevelsAreSubtotals="1" fieldPosition="0">
        <references count="1">
          <reference field="4294967294" count="1" selected="0">
            <x v="0"/>
          </reference>
        </references>
      </pivotArea>
    </format>
    <format dxfId="5">
      <pivotArea outline="0" collapsedLevelsAreSubtotals="1" fieldPosition="0">
        <references count="1">
          <reference field="4294967294" count="1" selected="0">
            <x v="0"/>
          </reference>
        </references>
      </pivotArea>
    </format>
    <format dxfId="6">
      <pivotArea outline="0" collapsedLevelsAreSubtotals="1" fieldPosition="0">
        <references count="1">
          <reference field="4294967294" count="1" selected="0">
            <x v="3"/>
          </reference>
        </references>
      </pivotArea>
    </format>
    <format dxfId="7">
      <pivotArea outline="0" collapsedLevelsAreSubtotals="1" fieldPosition="0">
        <references count="1">
          <reference field="4294967294" count="1" selected="0">
            <x v="3"/>
          </reference>
        </references>
      </pivotArea>
    </format>
  </formats>
  <pivotHierarchies count="52">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blOrdersdetails]"/>
        <x15:activeTabTopLevelEntity name="[Tblcategories]"/>
        <x15:activeTabTopLevelEntity name="[TblOrders]"/>
        <x15:activeTabTopLevelEntity name="[Tblproducts]"/>
        <x15:activeTabTopLevelEntity name="[TblCustomer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Name" xr10:uid="{B38540AA-A6ED-40E6-9FB2-D2C1A5C0A8C5}" sourceName="[Tblcategories].[CategoryName]">
  <pivotTables>
    <pivotTable tabId="2" name="PivotTable3"/>
    <pivotTable tabId="2" name="PivotTable1"/>
    <pivotTable tabId="2" name="PivotTable2"/>
    <pivotTable tabId="2" name="PivotTable4"/>
    <pivotTable tabId="3" name="PivotTable5"/>
  </pivotTables>
  <data>
    <olap pivotCacheId="977235972">
      <levels count="2">
        <level uniqueName="[Tblcategories].[CategoryName].[(All)]" sourceCaption="(All)" count="0"/>
        <level uniqueName="[Tblcategories].[CategoryName].[CategoryName]" sourceCaption="CategoryName" count="8">
          <ranges>
            <range startItem="0">
              <i n="[Tblcategories].[CategoryName].&amp;[Beverages]" c="Beverages"/>
              <i n="[Tblcategories].[CategoryName].&amp;[Condiments]" c="Condiments"/>
              <i n="[Tblcategories].[CategoryName].&amp;[Confections]" c="Confections"/>
              <i n="[Tblcategories].[CategoryName].&amp;[Dairy Products]" c="Dairy Products"/>
              <i n="[Tblcategories].[CategoryName].&amp;[Grains/Cereals]" c="Grains/Cereals"/>
              <i n="[Tblcategories].[CategoryName].&amp;[Meat/Poultry]" c="Meat/Poultry"/>
              <i n="[Tblcategories].[CategoryName].&amp;[Produce]" c="Produce"/>
              <i n="[Tblcategories].[CategoryName].&amp;[Seafood]" c="Seafood"/>
            </range>
          </ranges>
        </level>
      </levels>
      <selections count="1">
        <selection n="[Tblcategories].[CategoryNam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FF965085-F679-42D0-AB2F-B919B4501B06}" sourceName="[TblOrders].[Year]">
  <pivotTables>
    <pivotTable tabId="2" name="PivotTable3"/>
    <pivotTable tabId="2" name="PivotTable1"/>
    <pivotTable tabId="2" name="PivotTable2"/>
    <pivotTable tabId="2" name="PivotTable4"/>
    <pivotTable tabId="3" name="PivotTable5"/>
  </pivotTables>
  <data>
    <olap pivotCacheId="977235972">
      <levels count="2">
        <level uniqueName="[TblOrders].[Year].[(All)]" sourceCaption="(All)" count="0"/>
        <level uniqueName="[TblOrders].[Year].[Year]" sourceCaption="Year" count="2">
          <ranges>
            <range startItem="0">
              <i n="[TblOrders].[Year].&amp;[1996]" c="1996"/>
              <i n="[TblOrders].[Year].&amp;[1997]" c="1997" nd="1"/>
            </range>
          </ranges>
        </level>
      </levels>
      <selections count="1">
        <selection n="[TblOrders].[Year].[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5D8BB1F6-DC99-448E-BCB5-620313561944}" sourceName="[TblOrders].[Month]">
  <pivotTables>
    <pivotTable tabId="2" name="PivotTable3"/>
    <pivotTable tabId="2" name="PivotTable1"/>
    <pivotTable tabId="2" name="PivotTable2"/>
    <pivotTable tabId="2" name="PivotTable4"/>
    <pivotTable tabId="3" name="PivotTable5"/>
  </pivotTables>
  <data>
    <olap pivotCacheId="977235972">
      <levels count="2">
        <level uniqueName="[TblOrders].[Month].[(All)]" sourceCaption="(All)" count="0"/>
        <level uniqueName="[TblOrders].[Month].[Month]" sourceCaption="Month" count="7">
          <ranges>
            <range startItem="0">
              <i n="[TblOrders].[Month].&amp;[7]" c="7"/>
              <i n="[TblOrders].[Month].&amp;[8]" c="8"/>
              <i n="[TblOrders].[Month].&amp;[9]" c="9"/>
              <i n="[TblOrders].[Month].&amp;[10]" c="10"/>
              <i n="[TblOrders].[Month].&amp;[1]" c="1" nd="1"/>
              <i n="[TblOrders].[Month].&amp;[11]" c="11" nd="1"/>
              <i n="[TblOrders].[Month].&amp;[12]" c="12" nd="1"/>
            </range>
          </ranges>
        </level>
      </levels>
      <selections count="1">
        <selection n="[TblOrders].[Month].[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iceSegment" xr10:uid="{B8405F8A-AA00-4509-BA20-9DD2041275DD}" sourceName="[Tblproducts].[PriceSegment]">
  <pivotTables>
    <pivotTable tabId="2" name="PivotTable4"/>
    <pivotTable tabId="2" name="PivotTable1"/>
    <pivotTable tabId="2" name="PivotTable2"/>
    <pivotTable tabId="2" name="PivotTable3"/>
    <pivotTable tabId="3" name="PivotTable5"/>
  </pivotTables>
  <data>
    <olap pivotCacheId="977235972">
      <levels count="2">
        <level uniqueName="[Tblproducts].[PriceSegment].[(All)]" sourceCaption="(All)" count="0"/>
        <level uniqueName="[Tblproducts].[PriceSegment].[PriceSegment]" sourceCaption="PriceSegment" count="3">
          <ranges>
            <range startItem="0">
              <i n="[Tblproducts].[PriceSegment].&amp;[Economy]" c="Economy"/>
              <i n="[Tblproducts].[PriceSegment].&amp;[Premium]" c="Premium"/>
              <i n="[Tblproducts].[PriceSegment].&amp;[Standard]" c="Standard"/>
            </range>
          </ranges>
        </level>
      </levels>
      <selections count="1">
        <selection n="[Tblproducts].[PriceSegment].[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47FA9AD3-5FD0-4552-A79F-EAE1410521E0}" sourceName="[TblCustomers].[Country]">
  <pivotTables>
    <pivotTable tabId="2" name="PivotTable2"/>
    <pivotTable tabId="2" name="PivotTable1"/>
    <pivotTable tabId="2" name="PivotTable3"/>
    <pivotTable tabId="2" name="PivotTable4"/>
    <pivotTable tabId="3" name="PivotTable5"/>
  </pivotTables>
  <data>
    <olap pivotCacheId="977235972">
      <levels count="2">
        <level uniqueName="[TblCustomers].[Country].[(All)]" sourceCaption="(All)" count="0"/>
        <level uniqueName="[TblCustomers].[Country].[Country]" sourceCaption="Country" count="21">
          <ranges>
            <range startItem="0">
              <i n="[TblCustomers].[Country].&amp;[Austria]" c="Austria"/>
              <i n="[TblCustomers].[Country].&amp;[Belgium]" c="Belgium"/>
              <i n="[TblCustomers].[Country].&amp;[Brazil]" c="Brazil"/>
              <i n="[TblCustomers].[Country].&amp;[Finland]" c="Finland"/>
              <i n="[TblCustomers].[Country].&amp;[France]" c="France"/>
              <i n="[TblCustomers].[Country].&amp;[Germany]" c="Germany"/>
              <i n="[TblCustomers].[Country].&amp;[Ireland]" c="Ireland"/>
              <i n="[TblCustomers].[Country].&amp;[Italy]" c="Italy"/>
              <i n="[TblCustomers].[Country].&amp;[Mexico]" c="Mexico"/>
              <i n="[TblCustomers].[Country].&amp;[Spain]" c="Spain"/>
              <i n="[TblCustomers].[Country].&amp;[Sweden]" c="Sweden"/>
              <i n="[TblCustomers].[Country].&amp;[Switzerland]" c="Switzerland"/>
              <i n="[TblCustomers].[Country].&amp;[UK]" c="UK"/>
              <i n="[TblCustomers].[Country].&amp;[USA]" c="USA"/>
              <i n="[TblCustomers].[Country].&amp;[Venezuela]" c="Venezuela"/>
              <i n="[TblCustomers].[Country].&amp;[Argentina]" c="Argentina" nd="1"/>
              <i n="[TblCustomers].[Country].&amp;[Canada]" c="Canada" nd="1"/>
              <i n="[TblCustomers].[Country].&amp;[Denmark]" c="Denmark" nd="1"/>
              <i n="[TblCustomers].[Country].&amp;[Norway]" c="Norway" nd="1"/>
              <i n="[TblCustomers].[Country].&amp;[Poland]" c="Poland" nd="1"/>
              <i n="[TblCustomers].[Country].&amp;[Portugal]" c="Portugal" nd="1"/>
            </range>
          </ranges>
        </level>
      </levels>
      <selections count="1">
        <selection n="[TblCustomers].[Count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Name" xr10:uid="{8500D59E-68DC-4156-A0B5-13CAF32AEF42}" cache="Slicer_CategoryName" caption="CategoryName" level="1" style="Slicer Style 6" rowHeight="257175"/>
  <slicer name="Year" xr10:uid="{74BF234D-CDFA-4717-9FDF-68E2D42D7275}" cache="Slicer_Year" caption="Year" level="1" style="Slicer Style 1" rowHeight="257175"/>
  <slicer name="Month" xr10:uid="{AB58CAAC-50C1-4B12-A099-93412A9199BE}" cache="Slicer_Month" caption="Month" startItem="1" level="1" style="Slicer Style 8" rowHeight="257175"/>
  <slicer name="PriceSegment" xr10:uid="{26BE6FB6-EF65-46AE-BC0B-9BEC1D7958CC}" cache="Slicer_PriceSegment" caption="PriceSegment" level="1" style="Slicer Style 7" rowHeight="257175"/>
  <slicer name="Country" xr10:uid="{163E10A5-D4B2-4A2C-97FB-A9261A05BBB5}" cache="Slicer_Country" caption="Country" startItem="14" level="1" style="Slicer Style 6" rowHeight="257175"/>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53ED11-ADC0-47C3-A79C-EC04F3DEC573}">
  <dimension ref="B3:W20"/>
  <sheetViews>
    <sheetView workbookViewId="0">
      <selection activeCell="W37" sqref="W37"/>
    </sheetView>
  </sheetViews>
  <sheetFormatPr defaultRowHeight="15" x14ac:dyDescent="0.25"/>
  <cols>
    <col min="2" max="2" width="13.42578125" bestFit="1" customWidth="1"/>
    <col min="3" max="3" width="11.140625" bestFit="1" customWidth="1"/>
    <col min="8" max="8" width="13.42578125" bestFit="1" customWidth="1"/>
    <col min="9" max="9" width="11.140625" bestFit="1" customWidth="1"/>
    <col min="17" max="17" width="14.28515625" bestFit="1" customWidth="1"/>
    <col min="18" max="18" width="11.140625" bestFit="1" customWidth="1"/>
    <col min="19" max="19" width="14" bestFit="1" customWidth="1"/>
    <col min="20" max="20" width="17" bestFit="1" customWidth="1"/>
    <col min="21" max="21" width="18.5703125" bestFit="1" customWidth="1"/>
    <col min="22" max="22" width="13.42578125" bestFit="1" customWidth="1"/>
    <col min="23" max="23" width="11.140625" bestFit="1" customWidth="1"/>
    <col min="25" max="25" width="16.42578125" bestFit="1" customWidth="1"/>
    <col min="26" max="26" width="28.140625" bestFit="1" customWidth="1"/>
    <col min="27" max="27" width="23.140625" bestFit="1" customWidth="1"/>
    <col min="28" max="28" width="22.85546875" bestFit="1" customWidth="1"/>
    <col min="29" max="29" width="7.85546875" bestFit="1" customWidth="1"/>
    <col min="30" max="30" width="12.140625" bestFit="1" customWidth="1"/>
    <col min="31" max="31" width="7.7109375" bestFit="1" customWidth="1"/>
    <col min="32" max="32" width="14.28515625" bestFit="1" customWidth="1"/>
    <col min="33" max="33" width="21.85546875" bestFit="1" customWidth="1"/>
    <col min="34" max="34" width="17.42578125" bestFit="1" customWidth="1"/>
    <col min="35" max="35" width="29.140625" bestFit="1" customWidth="1"/>
    <col min="36" max="36" width="10.28515625" bestFit="1" customWidth="1"/>
    <col min="37" max="37" width="18.28515625" bestFit="1" customWidth="1"/>
    <col min="38" max="38" width="17.7109375" bestFit="1" customWidth="1"/>
    <col min="39" max="39" width="12.7109375" bestFit="1" customWidth="1"/>
    <col min="40" max="40" width="19.28515625" bestFit="1" customWidth="1"/>
    <col min="42" max="42" width="9.7109375" bestFit="1" customWidth="1"/>
    <col min="43" max="43" width="11.7109375" bestFit="1" customWidth="1"/>
    <col min="44" max="44" width="32.140625" bestFit="1" customWidth="1"/>
    <col min="45" max="45" width="7.5703125" bestFit="1" customWidth="1"/>
    <col min="46" max="46" width="11.7109375" bestFit="1" customWidth="1"/>
    <col min="47" max="47" width="25.7109375" bestFit="1" customWidth="1"/>
    <col min="48" max="48" width="12.7109375" bestFit="1" customWidth="1"/>
    <col min="49" max="49" width="31.5703125" bestFit="1" customWidth="1"/>
    <col min="50" max="50" width="24.85546875" bestFit="1" customWidth="1"/>
    <col min="51" max="51" width="22.28515625" bestFit="1" customWidth="1"/>
    <col min="52" max="52" width="18.5703125" bestFit="1" customWidth="1"/>
    <col min="54" max="54" width="21.42578125" bestFit="1" customWidth="1"/>
    <col min="55" max="55" width="21.85546875" bestFit="1" customWidth="1"/>
    <col min="56" max="56" width="27.28515625" bestFit="1" customWidth="1"/>
    <col min="57" max="57" width="29.7109375" bestFit="1" customWidth="1"/>
    <col min="58" max="58" width="13.85546875" bestFit="1" customWidth="1"/>
    <col min="59" max="59" width="12" bestFit="1" customWidth="1"/>
    <col min="61" max="61" width="12.85546875" bestFit="1" customWidth="1"/>
    <col min="62" max="62" width="15.42578125" bestFit="1" customWidth="1"/>
    <col min="63" max="63" width="26.5703125" bestFit="1" customWidth="1"/>
    <col min="64" max="64" width="20.28515625" bestFit="1" customWidth="1"/>
    <col min="65" max="65" width="13.85546875" bestFit="1" customWidth="1"/>
    <col min="66" max="66" width="20.42578125" bestFit="1" customWidth="1"/>
    <col min="67" max="67" width="10.42578125" bestFit="1" customWidth="1"/>
    <col min="68" max="68" width="17.5703125" bestFit="1" customWidth="1"/>
    <col min="69" max="69" width="13.7109375" bestFit="1" customWidth="1"/>
    <col min="70" max="70" width="19.140625" bestFit="1" customWidth="1"/>
    <col min="71" max="71" width="19.5703125" bestFit="1" customWidth="1"/>
    <col min="72" max="72" width="30" bestFit="1" customWidth="1"/>
    <col min="73" max="73" width="22.42578125" bestFit="1" customWidth="1"/>
    <col min="74" max="74" width="19" bestFit="1" customWidth="1"/>
    <col min="75" max="75" width="9.85546875" bestFit="1" customWidth="1"/>
    <col min="76" max="76" width="14.42578125" bestFit="1" customWidth="1"/>
    <col min="77" max="77" width="13.7109375" bestFit="1" customWidth="1"/>
    <col min="78" max="78" width="26.140625" bestFit="1" customWidth="1"/>
    <col min="79" max="79" width="23.140625" bestFit="1" customWidth="1"/>
    <col min="80" max="80" width="7.5703125" bestFit="1" customWidth="1"/>
    <col min="81" max="81" width="9.28515625" bestFit="1" customWidth="1"/>
    <col min="82" max="82" width="29.85546875" bestFit="1" customWidth="1"/>
    <col min="83" max="83" width="12.85546875" bestFit="1" customWidth="1"/>
    <col min="84" max="84" width="28.7109375" bestFit="1" customWidth="1"/>
    <col min="85" max="85" width="11.28515625" bestFit="1" customWidth="1"/>
  </cols>
  <sheetData>
    <row r="3" spans="2:23" x14ac:dyDescent="0.25">
      <c r="B3" s="1" t="s">
        <v>0</v>
      </c>
      <c r="C3" t="s">
        <v>2</v>
      </c>
    </row>
    <row r="4" spans="2:23" x14ac:dyDescent="0.25">
      <c r="B4" s="2">
        <v>7</v>
      </c>
      <c r="C4" s="5"/>
      <c r="H4" s="1" t="s">
        <v>0</v>
      </c>
      <c r="I4" t="s">
        <v>2</v>
      </c>
    </row>
    <row r="5" spans="2:23" x14ac:dyDescent="0.25">
      <c r="B5" s="3">
        <v>1996</v>
      </c>
      <c r="C5" s="4">
        <v>37358.85</v>
      </c>
      <c r="H5" s="2" t="s">
        <v>3</v>
      </c>
      <c r="I5" s="4">
        <v>5616.15</v>
      </c>
    </row>
    <row r="6" spans="2:23" x14ac:dyDescent="0.25">
      <c r="B6" s="2">
        <v>8</v>
      </c>
      <c r="C6" s="5"/>
      <c r="H6" s="2" t="s">
        <v>4</v>
      </c>
      <c r="I6" s="4">
        <v>8051.3</v>
      </c>
    </row>
    <row r="7" spans="2:23" x14ac:dyDescent="0.25">
      <c r="B7" s="3">
        <v>1996</v>
      </c>
      <c r="C7" s="4">
        <v>33285.49</v>
      </c>
      <c r="H7" s="2" t="s">
        <v>5</v>
      </c>
      <c r="I7" s="4">
        <v>14233.15</v>
      </c>
    </row>
    <row r="8" spans="2:23" x14ac:dyDescent="0.25">
      <c r="B8" s="2">
        <v>9</v>
      </c>
      <c r="C8" s="5"/>
      <c r="H8" s="2" t="s">
        <v>6</v>
      </c>
      <c r="I8" s="4">
        <v>3387</v>
      </c>
    </row>
    <row r="9" spans="2:23" x14ac:dyDescent="0.25">
      <c r="B9" s="3">
        <v>1996</v>
      </c>
      <c r="C9" s="4">
        <v>34565.599999999999</v>
      </c>
      <c r="H9" s="2" t="s">
        <v>7</v>
      </c>
      <c r="I9" s="4">
        <v>4826.1000000000004</v>
      </c>
    </row>
    <row r="10" spans="2:23" x14ac:dyDescent="0.25">
      <c r="B10" s="2">
        <v>10</v>
      </c>
      <c r="C10" s="5"/>
      <c r="H10" s="2" t="s">
        <v>8</v>
      </c>
      <c r="I10" s="4">
        <v>21521.25</v>
      </c>
      <c r="V10" s="1" t="s">
        <v>0</v>
      </c>
      <c r="W10" t="s">
        <v>2</v>
      </c>
    </row>
    <row r="11" spans="2:23" x14ac:dyDescent="0.25">
      <c r="B11" s="3">
        <v>1996</v>
      </c>
      <c r="C11" s="4">
        <v>7148.35</v>
      </c>
      <c r="H11" s="2" t="s">
        <v>9</v>
      </c>
      <c r="I11" s="4">
        <v>6112</v>
      </c>
      <c r="Q11" s="1" t="s">
        <v>0</v>
      </c>
      <c r="R11" t="s">
        <v>2</v>
      </c>
      <c r="V11" s="2" t="s">
        <v>26</v>
      </c>
      <c r="W11" s="4">
        <v>35545.35</v>
      </c>
    </row>
    <row r="12" spans="2:23" x14ac:dyDescent="0.25">
      <c r="B12" s="2" t="s">
        <v>1</v>
      </c>
      <c r="C12" s="4">
        <v>112358.29</v>
      </c>
      <c r="H12" s="2" t="s">
        <v>10</v>
      </c>
      <c r="I12" s="4">
        <v>1256</v>
      </c>
      <c r="Q12" s="2" t="s">
        <v>18</v>
      </c>
      <c r="R12" s="4">
        <v>19167.5</v>
      </c>
      <c r="V12" s="2" t="s">
        <v>27</v>
      </c>
      <c r="W12" s="4">
        <v>48201.9</v>
      </c>
    </row>
    <row r="13" spans="2:23" x14ac:dyDescent="0.25">
      <c r="H13" s="2" t="s">
        <v>11</v>
      </c>
      <c r="I13" s="4">
        <v>4646.3999999999996</v>
      </c>
      <c r="Q13" s="2" t="s">
        <v>19</v>
      </c>
      <c r="R13" s="4">
        <v>7643.85</v>
      </c>
      <c r="V13" s="2" t="s">
        <v>28</v>
      </c>
      <c r="W13" s="4">
        <v>28611.040000000001</v>
      </c>
    </row>
    <row r="14" spans="2:23" x14ac:dyDescent="0.25">
      <c r="H14" s="2" t="s">
        <v>12</v>
      </c>
      <c r="I14" s="4">
        <v>2481.69</v>
      </c>
      <c r="Q14" s="2" t="s">
        <v>20</v>
      </c>
      <c r="R14" s="4">
        <v>22869.1</v>
      </c>
      <c r="V14" s="2" t="s">
        <v>1</v>
      </c>
      <c r="W14" s="4">
        <v>112358.29</v>
      </c>
    </row>
    <row r="15" spans="2:23" x14ac:dyDescent="0.25">
      <c r="H15" s="2" t="s">
        <v>13</v>
      </c>
      <c r="I15" s="4">
        <v>3535.15</v>
      </c>
      <c r="Q15" s="2" t="s">
        <v>21</v>
      </c>
      <c r="R15" s="4">
        <v>23589.9</v>
      </c>
    </row>
    <row r="16" spans="2:23" x14ac:dyDescent="0.25">
      <c r="H16" s="2" t="s">
        <v>14</v>
      </c>
      <c r="I16" s="4">
        <v>3897.25</v>
      </c>
      <c r="Q16" s="2" t="s">
        <v>22</v>
      </c>
      <c r="R16" s="4">
        <v>3111.75</v>
      </c>
    </row>
    <row r="17" spans="8:18" x14ac:dyDescent="0.25">
      <c r="H17" s="2" t="s">
        <v>15</v>
      </c>
      <c r="I17" s="4">
        <v>1726.25</v>
      </c>
      <c r="Q17" s="2" t="s">
        <v>23</v>
      </c>
      <c r="R17" s="4">
        <v>14154.05</v>
      </c>
    </row>
    <row r="18" spans="8:18" x14ac:dyDescent="0.25">
      <c r="H18" s="2" t="s">
        <v>16</v>
      </c>
      <c r="I18" s="4">
        <v>25205.5</v>
      </c>
      <c r="Q18" s="2" t="s">
        <v>24</v>
      </c>
      <c r="R18" s="4">
        <v>8319.85</v>
      </c>
    </row>
    <row r="19" spans="8:18" x14ac:dyDescent="0.25">
      <c r="H19" s="2" t="s">
        <v>17</v>
      </c>
      <c r="I19" s="4">
        <v>5863.1</v>
      </c>
      <c r="Q19" s="2" t="s">
        <v>25</v>
      </c>
      <c r="R19" s="4">
        <v>13502.29</v>
      </c>
    </row>
    <row r="20" spans="8:18" x14ac:dyDescent="0.25">
      <c r="H20" s="2" t="s">
        <v>1</v>
      </c>
      <c r="I20" s="4">
        <v>112358.29</v>
      </c>
      <c r="Q20" s="2" t="s">
        <v>1</v>
      </c>
      <c r="R20" s="4">
        <v>112358.29</v>
      </c>
    </row>
  </sheetData>
  <pageMargins left="0.7" right="0.7" top="0.75" bottom="0.75" header="0.3" footer="0.3"/>
  <drawing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41856-1990-4C84-83EA-B1AA64B5E7B2}">
  <dimension ref="A3:G10"/>
  <sheetViews>
    <sheetView workbookViewId="0">
      <selection activeCell="G18" sqref="G17:G18"/>
    </sheetView>
  </sheetViews>
  <sheetFormatPr defaultRowHeight="15" x14ac:dyDescent="0.25"/>
  <cols>
    <col min="1" max="1" width="10.28515625" bestFit="1" customWidth="1"/>
    <col min="2" max="2" width="15" bestFit="1" customWidth="1"/>
    <col min="3" max="3" width="13.28515625" bestFit="1" customWidth="1"/>
    <col min="4" max="4" width="17.5703125" customWidth="1"/>
    <col min="5" max="5" width="14.140625" customWidth="1"/>
    <col min="6" max="6" width="13.28515625" customWidth="1"/>
    <col min="7" max="7" width="18.42578125" customWidth="1"/>
  </cols>
  <sheetData>
    <row r="3" spans="1:7" x14ac:dyDescent="0.25">
      <c r="A3" t="s">
        <v>2</v>
      </c>
      <c r="B3" t="s">
        <v>31</v>
      </c>
      <c r="C3" t="s">
        <v>32</v>
      </c>
      <c r="D3" t="s">
        <v>33</v>
      </c>
    </row>
    <row r="4" spans="1:7" x14ac:dyDescent="0.25">
      <c r="A4" s="14">
        <v>112358.29</v>
      </c>
      <c r="B4" s="13">
        <v>2046725</v>
      </c>
      <c r="C4" s="13">
        <v>4200</v>
      </c>
      <c r="D4" s="14">
        <v>1459.1985999999999</v>
      </c>
    </row>
    <row r="9" spans="1:7" x14ac:dyDescent="0.25">
      <c r="D9" s="15" t="str">
        <f>A3</f>
        <v>TotalSales</v>
      </c>
      <c r="E9" s="16" t="str" cm="1">
        <f t="array" ref="E9:E10">B3:B4</f>
        <v>Sum of OrderID</v>
      </c>
      <c r="F9" s="15" t="str" cm="1">
        <f t="array" ref="F9:F10">C3:C4</f>
        <v>TotalQuantity</v>
      </c>
      <c r="G9" s="15" t="str" cm="1">
        <f t="array" ref="G9:G10">D3:D4</f>
        <v>AverageOrderValue</v>
      </c>
    </row>
    <row r="10" spans="1:7" x14ac:dyDescent="0.25">
      <c r="D10" s="17">
        <f>GETPIVOTDATA("[Measures].[TotalSales]",$A$3)</f>
        <v>112358.29</v>
      </c>
      <c r="E10" s="18">
        <v>2046725</v>
      </c>
      <c r="F10" s="17">
        <v>4200</v>
      </c>
      <c r="G10" s="18">
        <v>1459.1985999999999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5AE021-F350-4428-9021-AD77EBB63D2D}">
  <dimension ref="A1:AM32"/>
  <sheetViews>
    <sheetView showGridLines="0" showRowColHeaders="0" tabSelected="1" zoomScale="80" zoomScaleNormal="80" workbookViewId="0">
      <selection activeCell="AK15" sqref="AK15"/>
    </sheetView>
  </sheetViews>
  <sheetFormatPr defaultRowHeight="15" x14ac:dyDescent="0.25"/>
  <cols>
    <col min="1" max="16384" width="9.140625" style="6"/>
  </cols>
  <sheetData>
    <row r="1" spans="1:39" ht="67.5" customHeight="1" x14ac:dyDescent="1">
      <c r="H1" s="9" t="s">
        <v>29</v>
      </c>
      <c r="I1" s="10"/>
      <c r="J1" s="10"/>
      <c r="K1" s="10"/>
      <c r="L1" s="10"/>
      <c r="M1" s="10"/>
      <c r="N1" s="10"/>
      <c r="O1" s="10"/>
      <c r="P1" s="10"/>
      <c r="Q1" s="10"/>
      <c r="R1" s="10"/>
      <c r="S1" s="10"/>
      <c r="T1" s="9"/>
      <c r="U1" s="9"/>
      <c r="V1" s="9"/>
      <c r="W1" s="9"/>
      <c r="X1" s="9"/>
      <c r="Y1" s="9"/>
    </row>
    <row r="2" spans="1:39" ht="24" x14ac:dyDescent="0.4">
      <c r="A2" s="8"/>
      <c r="B2" s="8"/>
      <c r="C2" s="8"/>
      <c r="D2" s="8"/>
      <c r="E2" s="8"/>
      <c r="F2" s="8"/>
      <c r="G2" s="8"/>
      <c r="H2" s="11"/>
      <c r="I2" s="12" t="s">
        <v>30</v>
      </c>
      <c r="J2" s="11"/>
      <c r="K2" s="11"/>
      <c r="L2" s="11"/>
      <c r="M2" s="11"/>
      <c r="N2" s="11"/>
      <c r="O2" s="11"/>
      <c r="P2" s="11"/>
      <c r="Q2" s="11"/>
      <c r="R2" s="11"/>
      <c r="S2" s="11"/>
      <c r="T2" s="11"/>
      <c r="U2" s="11"/>
      <c r="V2" s="11"/>
      <c r="W2" s="8"/>
      <c r="X2" s="8"/>
      <c r="Y2" s="8"/>
      <c r="Z2" s="8"/>
      <c r="AA2" s="8"/>
      <c r="AB2" s="8"/>
      <c r="AC2" s="8"/>
      <c r="AD2" s="8"/>
      <c r="AE2" s="8"/>
      <c r="AF2" s="8"/>
      <c r="AG2" s="8"/>
      <c r="AH2" s="8"/>
      <c r="AI2" s="8"/>
      <c r="AJ2" s="8"/>
      <c r="AK2" s="8"/>
      <c r="AL2" s="8"/>
      <c r="AM2" s="8"/>
    </row>
    <row r="3" spans="1:39" ht="133.5" customHeight="1" x14ac:dyDescent="0.25"/>
    <row r="32" spans="29:29" x14ac:dyDescent="0.25">
      <c r="AC32" s="7"/>
    </row>
  </sheetData>
  <phoneticPr fontId="3" type="noConversion"/>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Props1.xml><?xml version="1.0" encoding="utf-8"?>
<ds:datastoreItem xmlns:ds="http://schemas.openxmlformats.org/officeDocument/2006/customXml" ds:itemID="{A9BAC73B-4F21-4A93-8964-72ABDB87D910}">
  <ds:schemaRefs>
    <ds:schemaRef ds:uri="http://schemas.microsoft.com/DataMashup"/>
  </ds:schemaRefs>
</ds:datastoreItem>
</file>

<file path=customXml/itemProps2.xml><?xml version="1.0" encoding="utf-8"?>
<ds:datastoreItem xmlns:ds="http://schemas.openxmlformats.org/officeDocument/2006/customXml" ds:itemID="{0935E22A-B123-4CD8-A9EE-2D34C0F9BC08}">
  <ds:schemaRefs/>
</ds:datastoreItem>
</file>

<file path=customXml/itemProps3.xml><?xml version="1.0" encoding="utf-8"?>
<ds:datastoreItem xmlns:ds="http://schemas.openxmlformats.org/officeDocument/2006/customXml" ds:itemID="{9ABA2097-8ABE-4E1A-B3A1-B6273A07B932}">
  <ds:schemaRefs/>
</ds:datastoreItem>
</file>

<file path=customXml/itemProps4.xml><?xml version="1.0" encoding="utf-8"?>
<ds:datastoreItem xmlns:ds="http://schemas.openxmlformats.org/officeDocument/2006/customXml" ds:itemID="{A2D06BDD-1C4E-405C-9BE5-399368B89421}">
  <ds:schemaRefs/>
</ds:datastoreItem>
</file>

<file path=customXml/itemProps5.xml><?xml version="1.0" encoding="utf-8"?>
<ds:datastoreItem xmlns:ds="http://schemas.openxmlformats.org/officeDocument/2006/customXml" ds:itemID="{035F074E-EF4A-42C8-907F-DD2A03AE477E}">
  <ds:schemaRefs/>
</ds:datastoreItem>
</file>

<file path=customXml/itemProps6.xml><?xml version="1.0" encoding="utf-8"?>
<ds:datastoreItem xmlns:ds="http://schemas.openxmlformats.org/officeDocument/2006/customXml" ds:itemID="{F4E693A5-5CEF-4AF5-83AA-4CD0CC9C7FEF}">
  <ds:schemaRefs/>
</ds:datastoreItem>
</file>

<file path=customXml/itemProps7.xml><?xml version="1.0" encoding="utf-8"?>
<ds:datastoreItem xmlns:ds="http://schemas.openxmlformats.org/officeDocument/2006/customXml" ds:itemID="{6D1FDFAF-852E-4D62-B5CB-834B30FF8CD1}">
  <ds:schemaRefs/>
</ds:datastoreItem>
</file>

<file path=customXml/itemProps8.xml><?xml version="1.0" encoding="utf-8"?>
<ds:datastoreItem xmlns:ds="http://schemas.openxmlformats.org/officeDocument/2006/customXml" ds:itemID="{13872DDE-785A-4443-BCA6-E1C796329B51}">
  <ds:schemaRefs/>
</ds:datastoreItem>
</file>

<file path=customXml/itemProps9.xml><?xml version="1.0" encoding="utf-8"?>
<ds:datastoreItem xmlns:ds="http://schemas.openxmlformats.org/officeDocument/2006/customXml" ds:itemID="{066C75A7-C02C-454F-9A87-61E2C0776639}">
  <ds:schemaRefs/>
</ds:datastoreItem>
</file>

<file path=customXml/itemProps10.xml><?xml version="1.0" encoding="utf-8"?>
<ds:datastoreItem xmlns:ds="http://schemas.openxmlformats.org/officeDocument/2006/customXml" ds:itemID="{0951819B-0FEA-4BDF-A78B-81DA4A91D04C}">
  <ds:schemaRefs/>
</ds:datastoreItem>
</file>

<file path=customXml/itemProps11.xml><?xml version="1.0" encoding="utf-8"?>
<ds:datastoreItem xmlns:ds="http://schemas.openxmlformats.org/officeDocument/2006/customXml" ds:itemID="{00B239DF-54E4-4FAF-B2C2-720619B7C2C2}">
  <ds:schemaRefs/>
</ds:datastoreItem>
</file>

<file path=customXml/itemProps12.xml><?xml version="1.0" encoding="utf-8"?>
<ds:datastoreItem xmlns:ds="http://schemas.openxmlformats.org/officeDocument/2006/customXml" ds:itemID="{15EE6DB9-AE46-468F-9161-F4D5CD62F608}">
  <ds:schemaRefs/>
</ds:datastoreItem>
</file>

<file path=customXml/itemProps13.xml><?xml version="1.0" encoding="utf-8"?>
<ds:datastoreItem xmlns:ds="http://schemas.openxmlformats.org/officeDocument/2006/customXml" ds:itemID="{D4CF1321-375B-401E-B956-BF79EB5B4910}">
  <ds:schemaRefs/>
</ds:datastoreItem>
</file>

<file path=customXml/itemProps14.xml><?xml version="1.0" encoding="utf-8"?>
<ds:datastoreItem xmlns:ds="http://schemas.openxmlformats.org/officeDocument/2006/customXml" ds:itemID="{5C0D4447-2B92-452A-9DEE-940DB4C7F573}">
  <ds:schemaRefs/>
</ds:datastoreItem>
</file>

<file path=customXml/itemProps15.xml><?xml version="1.0" encoding="utf-8"?>
<ds:datastoreItem xmlns:ds="http://schemas.openxmlformats.org/officeDocument/2006/customXml" ds:itemID="{72D983AD-FDD6-44CC-B427-C2D023A2812C}">
  <ds:schemaRefs/>
</ds:datastoreItem>
</file>

<file path=customXml/itemProps16.xml><?xml version="1.0" encoding="utf-8"?>
<ds:datastoreItem xmlns:ds="http://schemas.openxmlformats.org/officeDocument/2006/customXml" ds:itemID="{491A5EB2-9962-4407-B58E-6D1E630C5D09}">
  <ds:schemaRefs/>
</ds:datastoreItem>
</file>

<file path=customXml/itemProps17.xml><?xml version="1.0" encoding="utf-8"?>
<ds:datastoreItem xmlns:ds="http://schemas.openxmlformats.org/officeDocument/2006/customXml" ds:itemID="{45D64FA4-8F9A-4FB0-9C9A-B2E84BEA9382}">
  <ds:schemaRefs/>
</ds:datastoreItem>
</file>

<file path=customXml/itemProps18.xml><?xml version="1.0" encoding="utf-8"?>
<ds:datastoreItem xmlns:ds="http://schemas.openxmlformats.org/officeDocument/2006/customXml" ds:itemID="{08250C19-4E21-481D-9986-64630F14DDCB}">
  <ds:schemaRefs/>
</ds:datastoreItem>
</file>

<file path=customXml/itemProps19.xml><?xml version="1.0" encoding="utf-8"?>
<ds:datastoreItem xmlns:ds="http://schemas.openxmlformats.org/officeDocument/2006/customXml" ds:itemID="{53D605C8-BC46-4E8C-944B-A5F74C96A65A}">
  <ds:schemaRefs/>
</ds:datastoreItem>
</file>

<file path=customXml/itemProps20.xml><?xml version="1.0" encoding="utf-8"?>
<ds:datastoreItem xmlns:ds="http://schemas.openxmlformats.org/officeDocument/2006/customXml" ds:itemID="{D00CE79A-48F5-4524-AF9E-39AB42A84CD4}">
  <ds:schemaRefs/>
</ds:datastoreItem>
</file>

<file path=customXml/itemProps21.xml><?xml version="1.0" encoding="utf-8"?>
<ds:datastoreItem xmlns:ds="http://schemas.openxmlformats.org/officeDocument/2006/customXml" ds:itemID="{6D3611D6-4FA7-42DA-B848-D74C40551BB8}">
  <ds:schemaRefs/>
</ds:datastoreItem>
</file>

<file path=customXml/itemProps22.xml><?xml version="1.0" encoding="utf-8"?>
<ds:datastoreItem xmlns:ds="http://schemas.openxmlformats.org/officeDocument/2006/customXml" ds:itemID="{DB3AB84D-ABC5-4AB5-A47B-891FE5DD4C90}">
  <ds:schemaRefs/>
</ds:datastoreItem>
</file>

<file path=customXml/itemProps23.xml><?xml version="1.0" encoding="utf-8"?>
<ds:datastoreItem xmlns:ds="http://schemas.openxmlformats.org/officeDocument/2006/customXml" ds:itemID="{CB7AF244-762F-4C87-81A8-F78F2200F1EB}">
  <ds:schemaRefs/>
</ds:datastoreItem>
</file>

<file path=customXml/itemProps24.xml><?xml version="1.0" encoding="utf-8"?>
<ds:datastoreItem xmlns:ds="http://schemas.openxmlformats.org/officeDocument/2006/customXml" ds:itemID="{5C23F76B-8224-40F0-97D1-344E6C35F843}">
  <ds:schemaRefs/>
</ds:datastoreItem>
</file>

<file path=customXml/itemProps25.xml><?xml version="1.0" encoding="utf-8"?>
<ds:datastoreItem xmlns:ds="http://schemas.openxmlformats.org/officeDocument/2006/customXml" ds:itemID="{DA70AC09-7076-4569-8727-B66CEDD3A0E1}">
  <ds:schemaRefs/>
</ds:datastoreItem>
</file>

<file path=customXml/itemProps26.xml><?xml version="1.0" encoding="utf-8"?>
<ds:datastoreItem xmlns:ds="http://schemas.openxmlformats.org/officeDocument/2006/customXml" ds:itemID="{83C1C72B-9777-4F3B-A394-4F044DC16BF6}">
  <ds:schemaRefs/>
</ds:datastoreItem>
</file>

<file path=customXml/itemProps27.xml><?xml version="1.0" encoding="utf-8"?>
<ds:datastoreItem xmlns:ds="http://schemas.openxmlformats.org/officeDocument/2006/customXml" ds:itemID="{E5F45363-991C-4479-A1E9-9AE2C9D31B6E}">
  <ds:schemaRefs/>
</ds:datastoreItem>
</file>

<file path=customXml/itemProps28.xml><?xml version="1.0" encoding="utf-8"?>
<ds:datastoreItem xmlns:ds="http://schemas.openxmlformats.org/officeDocument/2006/customXml" ds:itemID="{CF0354C3-BAB0-4E41-8DDC-FA62E89E1D71}">
  <ds:schemaRefs/>
</ds:datastoreItem>
</file>

<file path=customXml/itemProps29.xml><?xml version="1.0" encoding="utf-8"?>
<ds:datastoreItem xmlns:ds="http://schemas.openxmlformats.org/officeDocument/2006/customXml" ds:itemID="{3BBF8F1B-2ECF-48AD-A36F-4BED007CAB47}">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PivotTable1</vt:lpstr>
      <vt:lpstr>PivotTable2</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Mohamed Zakaria</dc:creator>
  <cp:lastModifiedBy>Mohamed Zakaria</cp:lastModifiedBy>
  <dcterms:created xsi:type="dcterms:W3CDTF">2026-03-15T21:23:14Z</dcterms:created>
  <dcterms:modified xsi:type="dcterms:W3CDTF">2026-03-19T03:33:57Z</dcterms:modified>
</cp:coreProperties>
</file>